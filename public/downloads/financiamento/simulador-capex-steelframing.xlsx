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Simula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<sst xmlns="http://schemas.openxmlformats.org/spreadsheetml/2006/main" count="82" uniqueCount="80">
  <si>
    <t xml:space="preserve">Simulador CAPEX · Steel Framing</t>
  </si>
  <si>
    <t xml:space="preserve">Simulador de custo de construção e CAPEX total para imóveis em Light Steel Framing. Compara o custo estimado com alvenaria convencional.</t>
  </si>
  <si>
    <t xml:space="preserve">Como usar</t>
  </si>
  <si>
    <t xml:space="preserve">Passo 1</t>
  </si>
  <si>
    <t xml:space="preserve">Vá para a aba 'Simulador'.</t>
  </si>
  <si>
    <t xml:space="preserve">Passo 2</t>
  </si>
  <si>
    <t xml:space="preserve">Preencha apenas as células com fundo amarelo na seção 'Parâmetros de Entrada'.</t>
  </si>
  <si>
    <t xml:space="preserve">Passo 3</t>
  </si>
  <si>
    <t xml:space="preserve">Os resultados nas seções CAPEX Total e Comparativo são calculados automaticamente pelas fórmulas.</t>
  </si>
  <si>
    <t xml:space="preserve">Passo 4</t>
  </si>
  <si>
    <t xml:space="preserve">Ajuste o BDI conforme sua realidade: empreitada completa costuma ter BDI maior do que autogestão.</t>
  </si>
  <si>
    <t xml:space="preserve">Passo 5</t>
  </si>
  <si>
    <t xml:space="preserve">Use o comparativo com alvenaria apenas como referência de ordem de grandeza — custos regionais variam muito.</t>
  </si>
  <si>
    <t xml:space="preserve">Células editáveis (fundo amarelo)</t>
  </si>
  <si>
    <t xml:space="preserve">Área construída (m²)</t>
  </si>
  <si>
    <t xml:space="preserve">Metragem total da construção.</t>
  </si>
  <si>
    <t xml:space="preserve">Custo de referência (R$/m²)</t>
  </si>
  <si>
    <t xml:space="preserve">Custo base de construção por m² — use orçamento real ou referência SINAPI/regional.</t>
  </si>
  <si>
    <t xml:space="preserve">Padrão de acabamento (%)</t>
  </si>
  <si>
    <t xml:space="preserve">Adicional percentual pelo padrão escolhido. Ex: 0% = padrão simples, 20% = padrão médio-alto.</t>
  </si>
  <si>
    <t xml:space="preserve">BDI (%)</t>
  </si>
  <si>
    <t xml:space="preserve">Benefícios e Despesas Indiretas. Inclui administração, lucro, impostos e contingência.</t>
  </si>
  <si>
    <t xml:space="preserve">Terreno (R$)</t>
  </si>
  <si>
    <t xml:space="preserve">Valor do terreno. Zero se já for do investidor.</t>
  </si>
  <si>
    <t xml:space="preserve">Projetos e taxas (R$)</t>
  </si>
  <si>
    <t xml:space="preserve">Projetos arquitetônico, estrutural, complementares, ART/RRT e taxas de aprovação.</t>
  </si>
  <si>
    <t xml:space="preserve">Custo alvenaria ref. (R$/m²)</t>
  </si>
  <si>
    <t xml:space="preserve">Custo de referência de alvenaria para comparação. Use a mesma fonte do campo de Steel Framing.</t>
  </si>
  <si>
    <t xml:space="preserve">Avisos importantes</t>
  </si>
  <si>
    <t xml:space="preserve">Valores ilustrativos</t>
  </si>
  <si>
    <t xml:space="preserve">Os valores pré-preenchidos são apenas para demonstração. Substitua pelo orçamento real do seu projeto.</t>
  </si>
  <si>
    <t xml:space="preserve">Não inclui custos financeiros</t>
  </si>
  <si>
    <t xml:space="preserve">O simulador não considera juros de financiamento da produção, custo de oportunidade do capital ou ITBI.</t>
  </si>
  <si>
    <t xml:space="preserve">Comparativo alvenaria</t>
  </si>
  <si>
    <t xml:space="preserve">A diferença percentual depende muito da região, especificações e fornecedores. Obtenha orçamentos reais para comparar.</t>
  </si>
  <si>
    <t xml:space="preserve">SINAPI</t>
  </si>
  <si>
    <t xml:space="preserve">Para referência de custo, consulte a tabela SINAPI vigente para o seu estado em: caixa.gov.br/sinapi</t>
  </si>
  <si>
    <t xml:space="preserve">steelframing.com.br — Material de apoio. Valide com contador, engenheiro e gerente de crédito antes de tomar decisões.</t>
  </si>
  <si>
    <t xml:space="preserve">SIMULADOR DE CAPEX — CONSTRUÇÃO EM STEEL FRAMING</t>
  </si>
  <si>
    <t xml:space="preserve">Campos em AMARELO são editáveis  |  Referência de custo: CUB SINDUSCON-SP (Steel Framing) + pesquisa de mercado SJC/2025  |  steelframing.com.br</t>
  </si>
  <si>
    <t xml:space="preserve">1. PARÂMETROS DE ENTRADA</t>
  </si>
  <si>
    <t xml:space="preserve">Área construída total (m²)</t>
  </si>
  <si>
    <t xml:space="preserve">Informe a área total a construir</t>
  </si>
  <si>
    <t xml:space="preserve">Custo de referência Steel Framing — básico (R$/m²)</t>
  </si>
  <si>
    <t xml:space="preserve">Padrão simples/médio — atualize pelo CUB local</t>
  </si>
  <si>
    <t xml:space="preserve">0% = básico | 10% = médio | 30% = alto</t>
  </si>
  <si>
    <t xml:space="preserve">Custo do terreno (R$)</t>
  </si>
  <si>
    <t xml:space="preserve">Já adquirido ou incluso no financiamento</t>
  </si>
  <si>
    <t xml:space="preserve">Taxa de BDI — Bonificação e Despesas Indiretas (%)</t>
  </si>
  <si>
    <t xml:space="preserve">Padrão mercado: 18–28%</t>
  </si>
  <si>
    <t xml:space="preserve">Contingência (%)</t>
  </si>
  <si>
    <t xml:space="preserve">Reserva de imprevistos: 5–10%</t>
  </si>
  <si>
    <t xml:space="preserve">2. CUSTO DA CONSTRUÇÃO</t>
  </si>
  <si>
    <t xml:space="preserve">Custo base da construção (R$)</t>
  </si>
  <si>
    <t xml:space="preserve">Área × Custo/m² × (1 + acabamento)</t>
  </si>
  <si>
    <t xml:space="preserve">BDI sobre construção (R$)</t>
  </si>
  <si>
    <t xml:space="preserve">Contingência (R$)</t>
  </si>
  <si>
    <t xml:space="preserve">CUSTO TOTAL DE CONSTRUÇÃO (R$)</t>
  </si>
  <si>
    <t xml:space="preserve">Base + BDI + Contingência</t>
  </si>
  <si>
    <t xml:space="preserve">3. CAPEX TOTAL DO EMPREENDIMENTO</t>
  </si>
  <si>
    <t xml:space="preserve">Custo total de construção (R$)</t>
  </si>
  <si>
    <t xml:space="preserve">Projetos, licenças e taxas (estimativa)</t>
  </si>
  <si>
    <t xml:space="preserve">Estimativa: ~5% do custo de construção</t>
  </si>
  <si>
    <t xml:space="preserve">CAPEX TOTAL (R$)</t>
  </si>
  <si>
    <t xml:space="preserve">4. CUSTO POR METRO QUADRADO</t>
  </si>
  <si>
    <t xml:space="preserve">Custo/m² de construção (R$/m²)</t>
  </si>
  <si>
    <t xml:space="preserve">Apenas construção ÷ área</t>
  </si>
  <si>
    <t xml:space="preserve">Custo/m² total (R$/m²)</t>
  </si>
  <si>
    <t xml:space="preserve">CAPEX sem terreno ÷ área</t>
  </si>
  <si>
    <t xml:space="preserve">Custo/m² total c/ terreno (R$/m²)</t>
  </si>
  <si>
    <t xml:space="preserve">CAPEX total ÷ área</t>
  </si>
  <si>
    <t xml:space="preserve">5. COMPARATIVO — ALVENARIA CONVENCIONAL</t>
  </si>
  <si>
    <t xml:space="preserve">Custo de referência Alvenaria Convencional (R$/m²)</t>
  </si>
  <si>
    <t xml:space="preserve">CUB padrão médio — atualize pelo SINDUSCON local</t>
  </si>
  <si>
    <t xml:space="preserve">Custo base Alvenaria c/ BDI e acabamento (R$)</t>
  </si>
  <si>
    <t xml:space="preserve">Diferença Steel Framing vs Alvenaria (R$)</t>
  </si>
  <si>
    <t xml:space="preserve">Positivo = SF mais caro | Negativo = SF mais barato</t>
  </si>
  <si>
    <t xml:space="preserve">Diferença percentual (%)</t>
  </si>
  <si>
    <t xml:space="preserve">% sobre alvenaria</t>
  </si>
  <si>
    <t xml:space="preserve">⚠  NOTA: Este simulador fornece estimativas orientativas. Os custos reais devem ser apurados por orçamento detalhado com profissional habilitado. Referências: CUB SINDUSCON-SP, pesquisa de fornecedores LSF, NBR 16970.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</si>
</sst>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&quot;R$&quot;#,##0"/>
    <numFmt numFmtId="167" formatCode="0%"/>
    <numFmt numFmtId="168" formatCode="&quot;R$&quot;#,##0.00"/>
    <numFmt numFmtId="169" formatCode="\+0.0%;\-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844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A8F"/>
        <bgColor rgb="FF555555"/>
      </patternFill>
    </fill>
    <fill>
      <patternFill patternType="solid">
        <fgColor rgb="FFD6E4F0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F5F5F5"/>
        <bgColor rgb="FFFFF9E6"/>
      </patternFill>
    </fill>
    <fill>
      <patternFill patternType="solid">
        <fgColor rgb="FFFFF2CC"/>
        <bgColor rgb="FFFFF3CD"/>
      </patternFill>
    </fill>
    <fill>
      <patternFill patternType="solid">
        <fgColor rgb="FFFFF9E6"/>
        <bgColor rgb="FFFFFBE6"/>
      </patternFill>
    </fill>
    <fill>
      <patternFill patternType="solid">
        <fgColor rgb="FFFFFBE6"/>
        <bgColor rgb="FFFFF9E6"/>
      </patternFill>
    </fill>
    <fill>
      <patternFill patternType="solid">
        <fgColor rgb="FF1A3A5C"/>
        <bgColor rgb="FF444444"/>
      </patternFill>
    </fill>
    <fill>
      <patternFill patternType="solid">
        <fgColor rgb="FFFFF3CD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9E6"/>
      <rgbColor rgb="FFFFF2CC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884400"/>
      <rgbColor rgb="FF993366"/>
      <rgbColor rgb="FF2E5A8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2" customFormat="false" ht="31.5" hidden="false" customHeight="true" outlineLevel="0" collapsed="false">
      <c r="B2" s="1" t="s">
        <v>0</v>
      </c>
      <c r="C2" s="1"/>
    </row>
    <row r="3" customFormat="false" ht="39.75" hidden="false" customHeight="tru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  <c r="C5" s="3"/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18.75" hidden="false" customHeight="true" outlineLevel="0" collapsed="false">
      <c r="B7" s="6" t="s">
        <v>5</v>
      </c>
      <c r="C7" s="7" t="s">
        <v>6</v>
      </c>
    </row>
    <row r="8" customFormat="false" ht="24" hidden="false" customHeight="true" outlineLevel="0" collapsed="false">
      <c r="B8" s="4" t="s">
        <v>7</v>
      </c>
      <c r="C8" s="5" t="s">
        <v>8</v>
      </c>
    </row>
    <row r="9" customFormat="false" ht="24" hidden="false" customHeight="true" outlineLevel="0" collapsed="false">
      <c r="B9" s="6" t="s">
        <v>9</v>
      </c>
      <c r="C9" s="7" t="s">
        <v>10</v>
      </c>
    </row>
    <row r="10" customFormat="false" ht="27" hidden="false" customHeight="true" outlineLevel="0" collapsed="false">
      <c r="B10" s="4" t="s">
        <v>11</v>
      </c>
      <c r="C10" s="5" t="s">
        <v>12</v>
      </c>
    </row>
    <row r="12" customFormat="false" ht="19.5" hidden="false" customHeight="true" outlineLevel="0" collapsed="false">
      <c r="B12" s="3" t="s">
        <v>13</v>
      </c>
      <c r="C12" s="3"/>
    </row>
    <row r="13" customFormat="false" ht="15" hidden="false" customHeight="true" outlineLevel="0" collapsed="false">
      <c r="B13" s="8" t="s">
        <v>14</v>
      </c>
      <c r="C13" s="9" t="s">
        <v>15</v>
      </c>
    </row>
    <row r="14" customFormat="false" ht="19.5" hidden="false" customHeight="true" outlineLevel="0" collapsed="false">
      <c r="B14" s="10" t="s">
        <v>16</v>
      </c>
      <c r="C14" s="11" t="s">
        <v>17</v>
      </c>
    </row>
    <row r="15" customFormat="false" ht="22.5" hidden="false" customHeight="true" outlineLevel="0" collapsed="false">
      <c r="B15" s="8" t="s">
        <v>18</v>
      </c>
      <c r="C15" s="9" t="s">
        <v>19</v>
      </c>
    </row>
    <row r="16" customFormat="false" ht="21" hidden="false" customHeight="true" outlineLevel="0" collapsed="false">
      <c r="B16" s="10" t="s">
        <v>20</v>
      </c>
      <c r="C16" s="11" t="s">
        <v>21</v>
      </c>
    </row>
    <row r="17" customFormat="false" ht="15" hidden="false" customHeight="true" outlineLevel="0" collapsed="false">
      <c r="B17" s="8" t="s">
        <v>22</v>
      </c>
      <c r="C17" s="9" t="s">
        <v>23</v>
      </c>
    </row>
    <row r="18" customFormat="false" ht="19.5" hidden="false" customHeight="true" outlineLevel="0" collapsed="false">
      <c r="B18" s="10" t="s">
        <v>24</v>
      </c>
      <c r="C18" s="11" t="s">
        <v>25</v>
      </c>
    </row>
    <row r="19" customFormat="false" ht="22.5" hidden="false" customHeight="true" outlineLevel="0" collapsed="false">
      <c r="B19" s="8" t="s">
        <v>26</v>
      </c>
      <c r="C19" s="9" t="s">
        <v>27</v>
      </c>
    </row>
    <row r="21" customFormat="false" ht="19.5" hidden="false" customHeight="true" outlineLevel="0" collapsed="false">
      <c r="B21" s="3" t="s">
        <v>28</v>
      </c>
      <c r="C21" s="3"/>
    </row>
    <row r="22" customFormat="false" ht="24.75" hidden="false" customHeight="true" outlineLevel="0" collapsed="false">
      <c r="B22" s="8" t="s">
        <v>29</v>
      </c>
      <c r="C22" s="9" t="s">
        <v>30</v>
      </c>
    </row>
    <row r="23" customFormat="false" ht="24.75" hidden="false" customHeight="true" outlineLevel="0" collapsed="false">
      <c r="B23" s="12" t="s">
        <v>31</v>
      </c>
      <c r="C23" s="13" t="s">
        <v>32</v>
      </c>
    </row>
    <row r="24" customFormat="false" ht="28.5" hidden="false" customHeight="true" outlineLevel="0" collapsed="false">
      <c r="B24" s="8" t="s">
        <v>33</v>
      </c>
      <c r="C24" s="9" t="s">
        <v>34</v>
      </c>
    </row>
    <row r="25" customFormat="false" ht="24.75" hidden="false" customHeight="true" outlineLevel="0" collapsed="false">
      <c r="B25" s="12" t="s">
        <v>35</v>
      </c>
      <c r="C25" s="13" t="s">
        <v>36</v>
      </c>
    </row>
    <row r="27" customFormat="false" ht="15" hidden="false" customHeight="false" outlineLevel="0" collapsed="false">
      <c r="B27" s="14" t="s">
        <v>37</v>
      </c>
      <c r="C27" s="14"/>
    </row>
  </sheetData>
  <mergeCells count="6">
    <mergeCell ref="B2:C2"/>
    <mergeCell ref="B3:C3"/>
    <mergeCell ref="B5:C5"/>
    <mergeCell ref="B12:C12"/>
    <mergeCell ref="B21:C21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5"/>
    <col collapsed="false" customWidth="true" hidden="false" outlineLevel="0" max="2" min="2" style="15" width="38"/>
    <col collapsed="false" customWidth="true" hidden="false" outlineLevel="0" max="6" min="3" style="15" width="16"/>
    <col collapsed="false" customWidth="true" hidden="false" outlineLevel="0" max="7" min="7" style="15" width="20"/>
  </cols>
  <sheetData>
    <row r="1" customFormat="false" ht="31.5" hidden="false" customHeight="true" outlineLevel="0" collapsed="false">
      <c r="A1" s="16" t="s">
        <v>38</v>
      </c>
      <c r="B1" s="16"/>
      <c r="C1" s="16"/>
      <c r="D1" s="16"/>
      <c r="E1" s="16"/>
      <c r="F1" s="16"/>
      <c r="G1" s="16"/>
    </row>
    <row r="2" customFormat="false" ht="15.75" hidden="false" customHeight="true" outlineLevel="0" collapsed="false">
      <c r="A2" s="17" t="s">
        <v>39</v>
      </c>
      <c r="B2" s="17"/>
      <c r="C2" s="17"/>
      <c r="D2" s="17"/>
      <c r="E2" s="17"/>
      <c r="F2" s="17"/>
      <c r="G2" s="17"/>
    </row>
    <row r="3" customFormat="false" ht="19.5" hidden="false" customHeight="true" outlineLevel="0" collapsed="false">
      <c r="A3" s="18" t="s">
        <v>40</v>
      </c>
      <c r="B3" s="18"/>
      <c r="C3" s="18"/>
      <c r="D3" s="18"/>
      <c r="E3" s="18"/>
      <c r="F3" s="18"/>
      <c r="G3" s="18"/>
    </row>
    <row r="4" customFormat="false" ht="19.5" hidden="false" customHeight="true" outlineLevel="0" collapsed="false">
      <c r="B4" s="19" t="s">
        <v>41</v>
      </c>
      <c r="C4" s="20" t="n">
        <v>120</v>
      </c>
      <c r="D4" s="21" t="s">
        <v>42</v>
      </c>
      <c r="E4" s="21"/>
      <c r="F4" s="21"/>
      <c r="G4" s="21"/>
    </row>
    <row r="5" customFormat="false" ht="19.5" hidden="false" customHeight="true" outlineLevel="0" collapsed="false">
      <c r="B5" s="19" t="s">
        <v>43</v>
      </c>
      <c r="C5" s="22" t="n">
        <v>2800</v>
      </c>
      <c r="D5" s="21" t="s">
        <v>44</v>
      </c>
      <c r="E5" s="21"/>
      <c r="F5" s="21"/>
      <c r="G5" s="21"/>
    </row>
    <row r="6" customFormat="false" ht="19.5" hidden="false" customHeight="true" outlineLevel="0" collapsed="false">
      <c r="B6" s="19" t="s">
        <v>18</v>
      </c>
      <c r="C6" s="23" t="n">
        <v>0.1</v>
      </c>
      <c r="D6" s="21" t="s">
        <v>45</v>
      </c>
      <c r="E6" s="21"/>
      <c r="F6" s="21"/>
      <c r="G6" s="21"/>
    </row>
    <row r="7" customFormat="false" ht="19.5" hidden="false" customHeight="true" outlineLevel="0" collapsed="false">
      <c r="B7" s="19" t="s">
        <v>46</v>
      </c>
      <c r="C7" s="22" t="n">
        <v>80000</v>
      </c>
      <c r="D7" s="21" t="s">
        <v>47</v>
      </c>
      <c r="E7" s="21"/>
      <c r="F7" s="21"/>
      <c r="G7" s="21"/>
    </row>
    <row r="8" customFormat="false" ht="19.5" hidden="false" customHeight="true" outlineLevel="0" collapsed="false">
      <c r="B8" s="19" t="s">
        <v>48</v>
      </c>
      <c r="C8" s="23" t="n">
        <v>0.22</v>
      </c>
      <c r="D8" s="21" t="s">
        <v>49</v>
      </c>
      <c r="E8" s="21"/>
      <c r="F8" s="21"/>
      <c r="G8" s="21"/>
    </row>
    <row r="9" customFormat="false" ht="19.5" hidden="false" customHeight="true" outlineLevel="0" collapsed="false">
      <c r="B9" s="19" t="s">
        <v>50</v>
      </c>
      <c r="C9" s="23" t="n">
        <v>0.05</v>
      </c>
      <c r="D9" s="21" t="s">
        <v>51</v>
      </c>
      <c r="E9" s="21"/>
      <c r="F9" s="21"/>
      <c r="G9" s="21"/>
    </row>
    <row r="11" customFormat="false" ht="19.5" hidden="false" customHeight="true" outlineLevel="0" collapsed="false">
      <c r="A11" s="18" t="s">
        <v>52</v>
      </c>
      <c r="B11" s="18"/>
      <c r="C11" s="18"/>
      <c r="D11" s="18"/>
      <c r="E11" s="18"/>
      <c r="F11" s="18"/>
      <c r="G11" s="18"/>
    </row>
    <row r="12" customFormat="false" ht="19.5" hidden="false" customHeight="true" outlineLevel="0" collapsed="false">
      <c r="B12" s="19" t="s">
        <v>53</v>
      </c>
      <c r="C12" s="24" t="n">
        <f aca="false">C4*C5*(1+C6)</f>
        <v>369600</v>
      </c>
      <c r="D12" s="21" t="s">
        <v>54</v>
      </c>
      <c r="E12" s="21"/>
      <c r="F12" s="21"/>
      <c r="G12" s="21"/>
    </row>
    <row r="13" customFormat="false" ht="19.5" hidden="false" customHeight="true" outlineLevel="0" collapsed="false">
      <c r="B13" s="19" t="s">
        <v>55</v>
      </c>
      <c r="C13" s="24" t="n">
        <f aca="false">C12*C8</f>
        <v>81312</v>
      </c>
    </row>
    <row r="14" customFormat="false" ht="19.5" hidden="false" customHeight="true" outlineLevel="0" collapsed="false">
      <c r="B14" s="19" t="s">
        <v>56</v>
      </c>
      <c r="C14" s="24" t="n">
        <f aca="false">C12*C9</f>
        <v>18480</v>
      </c>
    </row>
    <row r="15" customFormat="false" ht="19.5" hidden="false" customHeight="true" outlineLevel="0" collapsed="false">
      <c r="B15" s="25" t="s">
        <v>57</v>
      </c>
      <c r="C15" s="26" t="n">
        <f aca="false">C12+C13+C14</f>
        <v>469392</v>
      </c>
      <c r="D15" s="21" t="s">
        <v>58</v>
      </c>
      <c r="E15" s="21"/>
      <c r="F15" s="21"/>
      <c r="G15" s="21"/>
    </row>
    <row r="17" customFormat="false" ht="19.5" hidden="false" customHeight="true" outlineLevel="0" collapsed="false">
      <c r="A17" s="18" t="s">
        <v>59</v>
      </c>
      <c r="B17" s="18"/>
      <c r="C17" s="18"/>
      <c r="D17" s="18"/>
      <c r="E17" s="18"/>
      <c r="F17" s="18"/>
      <c r="G17" s="18"/>
    </row>
    <row r="18" customFormat="false" ht="19.5" hidden="false" customHeight="true" outlineLevel="0" collapsed="false">
      <c r="B18" s="19" t="s">
        <v>60</v>
      </c>
      <c r="C18" s="24" t="n">
        <f aca="false">C15</f>
        <v>469392</v>
      </c>
    </row>
    <row r="19" customFormat="false" ht="19.5" hidden="false" customHeight="true" outlineLevel="0" collapsed="false">
      <c r="B19" s="19" t="s">
        <v>46</v>
      </c>
      <c r="C19" s="24" t="n">
        <f aca="false">C7</f>
        <v>80000</v>
      </c>
    </row>
    <row r="20" customFormat="false" ht="19.5" hidden="false" customHeight="true" outlineLevel="0" collapsed="false">
      <c r="B20" s="19" t="s">
        <v>61</v>
      </c>
      <c r="C20" s="24" t="n">
        <f aca="false">C15*0.05</f>
        <v>23469.6</v>
      </c>
      <c r="D20" s="21" t="s">
        <v>62</v>
      </c>
      <c r="E20" s="21"/>
      <c r="F20" s="21"/>
      <c r="G20" s="21"/>
    </row>
    <row r="21" customFormat="false" ht="24" hidden="false" customHeight="true" outlineLevel="0" collapsed="false">
      <c r="B21" s="27" t="s">
        <v>63</v>
      </c>
      <c r="C21" s="28" t="n">
        <f aca="false">C15+C7+C20</f>
        <v>572861.6</v>
      </c>
    </row>
    <row r="23" customFormat="false" ht="19.5" hidden="false" customHeight="true" outlineLevel="0" collapsed="false">
      <c r="A23" s="18" t="s">
        <v>64</v>
      </c>
      <c r="B23" s="18"/>
      <c r="C23" s="18"/>
      <c r="D23" s="18"/>
      <c r="E23" s="18"/>
      <c r="F23" s="18"/>
      <c r="G23" s="18"/>
    </row>
    <row r="24" customFormat="false" ht="19.5" hidden="false" customHeight="true" outlineLevel="0" collapsed="false">
      <c r="B24" s="19" t="s">
        <v>65</v>
      </c>
      <c r="C24" s="24" t="n">
        <f aca="false">C15/C4</f>
        <v>3911.6</v>
      </c>
      <c r="D24" s="21" t="s">
        <v>66</v>
      </c>
      <c r="E24" s="21"/>
      <c r="F24" s="21"/>
      <c r="G24" s="21"/>
    </row>
    <row r="25" customFormat="false" ht="19.5" hidden="false" customHeight="true" outlineLevel="0" collapsed="false">
      <c r="B25" s="19" t="s">
        <v>67</v>
      </c>
      <c r="C25" s="24" t="n">
        <f aca="false">(C21-C7)/C4</f>
        <v>4107.18</v>
      </c>
      <c r="D25" s="21" t="s">
        <v>68</v>
      </c>
      <c r="E25" s="21"/>
      <c r="F25" s="21"/>
      <c r="G25" s="21"/>
    </row>
    <row r="26" customFormat="false" ht="19.5" hidden="false" customHeight="true" outlineLevel="0" collapsed="false">
      <c r="B26" s="19" t="s">
        <v>69</v>
      </c>
      <c r="C26" s="24" t="n">
        <f aca="false">C21/C4</f>
        <v>4773.84666666667</v>
      </c>
      <c r="D26" s="21" t="s">
        <v>70</v>
      </c>
      <c r="E26" s="21"/>
      <c r="F26" s="21"/>
      <c r="G26" s="21"/>
    </row>
    <row r="28" customFormat="false" ht="19.5" hidden="false" customHeight="true" outlineLevel="0" collapsed="false">
      <c r="A28" s="18" t="s">
        <v>71</v>
      </c>
      <c r="B28" s="18"/>
      <c r="C28" s="18"/>
      <c r="D28" s="18"/>
      <c r="E28" s="18"/>
      <c r="F28" s="18"/>
      <c r="G28" s="18"/>
    </row>
    <row r="29" customFormat="false" ht="19.5" hidden="false" customHeight="true" outlineLevel="0" collapsed="false">
      <c r="B29" s="19" t="s">
        <v>72</v>
      </c>
      <c r="C29" s="22" t="n">
        <v>2200</v>
      </c>
      <c r="D29" s="21" t="s">
        <v>73</v>
      </c>
      <c r="E29" s="21"/>
      <c r="F29" s="21"/>
      <c r="G29" s="21"/>
    </row>
    <row r="30" customFormat="false" ht="19.5" hidden="false" customHeight="true" outlineLevel="0" collapsed="false">
      <c r="B30" s="19" t="s">
        <v>74</v>
      </c>
      <c r="C30" s="24" t="n">
        <f aca="false">C4*C29*(1+C6)*(1+C8)</f>
        <v>354288</v>
      </c>
    </row>
    <row r="31" customFormat="false" ht="19.5" hidden="false" customHeight="true" outlineLevel="0" collapsed="false">
      <c r="B31" s="19" t="s">
        <v>75</v>
      </c>
      <c r="C31" s="24" t="n">
        <f aca="false">C15-C30</f>
        <v>115104</v>
      </c>
      <c r="D31" s="21" t="s">
        <v>76</v>
      </c>
      <c r="E31" s="21"/>
      <c r="F31" s="21"/>
      <c r="G31" s="21"/>
    </row>
    <row r="32" customFormat="false" ht="19.5" hidden="false" customHeight="true" outlineLevel="0" collapsed="false">
      <c r="B32" s="19" t="s">
        <v>77</v>
      </c>
      <c r="C32" s="29" t="n">
        <f aca="false">(C15-C30)/C30</f>
        <v>0.324888226527571</v>
      </c>
      <c r="D32" s="21" t="s">
        <v>78</v>
      </c>
      <c r="E32" s="21"/>
      <c r="F32" s="21"/>
      <c r="G32" s="21"/>
    </row>
    <row r="34" customFormat="false" ht="31.5" hidden="false" customHeight="true" outlineLevel="0" collapsed="false">
      <c r="A34" s="30" t="s">
        <v>79</v>
      </c>
      <c r="B34" s="30"/>
      <c r="C34" s="30"/>
      <c r="D34" s="30"/>
      <c r="E34" s="30"/>
      <c r="F34" s="30"/>
      <c r="G34" s="30"/>
    </row>
  </sheetData>
  <mergeCells count="23">
    <mergeCell ref="A1:G1"/>
    <mergeCell ref="A2:G2"/>
    <mergeCell ref="A3:G3"/>
    <mergeCell ref="D4:G4"/>
    <mergeCell ref="D5:G5"/>
    <mergeCell ref="D6:G6"/>
    <mergeCell ref="D7:G7"/>
    <mergeCell ref="D8:G8"/>
    <mergeCell ref="D9:G9"/>
    <mergeCell ref="A11:G11"/>
    <mergeCell ref="D12:G12"/>
    <mergeCell ref="D15:G15"/>
    <mergeCell ref="A17:G17"/>
    <mergeCell ref="D20:G20"/>
    <mergeCell ref="A23:G23"/>
    <mergeCell ref="D24:G24"/>
    <mergeCell ref="D25:G25"/>
    <mergeCell ref="D26:G26"/>
    <mergeCell ref="A28:G28"/>
    <mergeCell ref="D29:G29"/>
    <mergeCell ref="D31:G31"/>
    <mergeCell ref="D32:G3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2026-09-10T19:21:44Z</dcterms:created>
  <dc:creator>openpyxl</dc:creator>
  <dc:description/>
  <dc:language>en-US</dc:language>
  <cp:lastModifiedBy/>
  <dcterms:modified xsi:type="dcterms:W3CDTF">2026-09-10T19:39:48Z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