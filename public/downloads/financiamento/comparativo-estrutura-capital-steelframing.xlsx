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F vs PJ" sheetId="2" state="visible" r:id="rId4"/>
    <sheet name="Simulador de Retorn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<sst xmlns="http://schemas.openxmlformats.org/spreadsheetml/2006/main" count="121" uniqueCount="119">
  <si>
    <t xml:space="preserve">Comparativo PF vs PJ + Simulador de Retorno · Steel Framing</t>
  </si>
  <si>
    <t xml:space="preserve">Compara aspectos tributários, de financiamento e operacionais entre Pessoa Física e Jurídica para imóveis em LSF. Inclui simulador de retorno sobre capital próprio.</t>
  </si>
  <si>
    <t xml:space="preserve">Como usar</t>
  </si>
  <si>
    <t xml:space="preserve">Aba PF vs PJ</t>
  </si>
  <si>
    <t xml:space="preserve">Leia o comparativo linha a linha. Cada aspecto traz a situação para PF e PJ separadamente. Use para orientar a conversa com seu contador.</t>
  </si>
  <si>
    <t xml:space="preserve">Aba Simulador de Retorno</t>
  </si>
  <si>
    <t xml:space="preserve">Preencha as células amarelas com os dados do seu projeto: valor do imóvel, entrada, taxa de aluguel mensal, taxa de financiamento e prazo.</t>
  </si>
  <si>
    <t xml:space="preserve">Leitura dos resultados</t>
  </si>
  <si>
    <t xml:space="preserve">O simulador calcula: prestação mensal estimada (PMT), fluxo líquido mensal e retorno anual sobre capital próprio.</t>
  </si>
  <si>
    <t xml:space="preserve">Cenários</t>
  </si>
  <si>
    <t xml:space="preserve">Altere os parâmetros para simular diferentes cenários: maior entrada, prazo menor, taxa de aluguel diferente.</t>
  </si>
  <si>
    <t xml:space="preserve">Células editáveis (fundo amarelo)</t>
  </si>
  <si>
    <t xml:space="preserve">Valor do imóvel (R$)</t>
  </si>
  <si>
    <t xml:space="preserve">Valor total do imóvel construído.</t>
  </si>
  <si>
    <t xml:space="preserve">Entrada / capital próprio (R$)</t>
  </si>
  <si>
    <t xml:space="preserve">Valor que o comprador ou investidor coloca de recursos próprios.</t>
  </si>
  <si>
    <t xml:space="preserve">Taxa de aluguel mensal (R$)</t>
  </si>
  <si>
    <t xml:space="preserve">Receita mensal esperada com locação do imóvel.</t>
  </si>
  <si>
    <t xml:space="preserve">Taxa de juros mensal (%)</t>
  </si>
  <si>
    <t xml:space="preserve">Taxa de juros do financiamento. Consulte as condições CAIXA vigentes.</t>
  </si>
  <si>
    <t xml:space="preserve">Prazo (meses)</t>
  </si>
  <si>
    <t xml:space="preserve">Prazo total do financiamento em meses.</t>
  </si>
  <si>
    <t xml:space="preserve">Avisos importantes</t>
  </si>
  <si>
    <t xml:space="preserve">Não é consultoria jurídica ou contábil</t>
  </si>
  <si>
    <t xml:space="preserve">O comparativo PF vs PJ é informativo. A estrutura adequada depende do seu perfil, histórico e objetivo. Consulte um contador.</t>
  </si>
  <si>
    <t xml:space="preserve">PMT é estimativa</t>
  </si>
  <si>
    <t xml:space="preserve">A fórmula PMT calcula uma prestação price simplificada. Financiamentos reais podem usar SAC ou outras tabelas, com valores diferentes.</t>
  </si>
  <si>
    <t xml:space="preserve">Taxas mudam</t>
  </si>
  <si>
    <t xml:space="preserve">As condições de financiamento CAIXA são atualizadas periodicamente. Revalide as taxas antes de usar como base de decisão.</t>
  </si>
  <si>
    <t xml:space="preserve">Retorno não é garantido</t>
  </si>
  <si>
    <t xml:space="preserve">O retorno calculado depende de ocupação, inadimplência, vacância e custos de manutenção — variáveis não incluídas no simulador.</t>
  </si>
  <si>
    <t xml:space="preserve">steelframing.com.br — Material de apoio. Valide com contador, engenheiro e gerente de crédito antes de tomar decisões.</t>
  </si>
  <si>
    <t xml:space="preserve">COMPARATIVO — ESTRUTURA DE CAPITAL: PESSOA FÍSICA × PESSOA JURÍDICA</t>
  </si>
  <si>
    <t xml:space="preserve">Campos em AMARELO são editáveis  |  Consulte sempre um contador para decisão tributária definitiva  |  steelframing.com.br</t>
  </si>
  <si>
    <t xml:space="preserve">Critério / Item</t>
  </si>
  <si>
    <t xml:space="preserve">Pessoa Física (PF)</t>
  </si>
  <si>
    <t xml:space="preserve">Pessoa Jurídica (PJ)</t>
  </si>
  <si>
    <t xml:space="preserve">Observação</t>
  </si>
  <si>
    <t xml:space="preserve">TRIBUTAÇÃO</t>
  </si>
  <si>
    <t xml:space="preserve">Imposto de Renda sobre ganho de capital na venda</t>
  </si>
  <si>
    <t xml:space="preserve">15% a 22,5% s/ ganho</t>
  </si>
  <si>
    <t xml:space="preserve">Lucro Real, Presumido ou Simples</t>
  </si>
  <si>
    <t xml:space="preserve">PJ Simples pode ter alíquota menor para construtora</t>
  </si>
  <si>
    <t xml:space="preserve">Redução por tempo de posse (PF)</t>
  </si>
  <si>
    <t xml:space="preserve">Sim — desconto progressivo a partir de 5 anos</t>
  </si>
  <si>
    <t xml:space="preserve">Não se aplica</t>
  </si>
  <si>
    <t xml:space="preserve">Isenção na venda de único imóvel &lt; R$440k (PF)</t>
  </si>
  <si>
    <t xml:space="preserve">Sim, se PF e único imóvel</t>
  </si>
  <si>
    <t xml:space="preserve">Não</t>
  </si>
  <si>
    <t xml:space="preserve">Art. 22, Lei 9250/1995</t>
  </si>
  <si>
    <t xml:space="preserve">ITBI (transmissão) na aquisição do terreno</t>
  </si>
  <si>
    <t xml:space="preserve">≈2–3% s/ valor venal (varia por município)</t>
  </si>
  <si>
    <t xml:space="preserve">Idem — mesma base</t>
  </si>
  <si>
    <t xml:space="preserve">Contribuição sobre receita de aluguel (PF)</t>
  </si>
  <si>
    <t xml:space="preserve">0%–27,5% (Carnê-Leão progressivo)</t>
  </si>
  <si>
    <t xml:space="preserve">PJ Simples: 6–15,5%</t>
  </si>
  <si>
    <t xml:space="preserve">PJ pode ser mais eficiente acima de ~R$6k/mês de aluguel</t>
  </si>
  <si>
    <t xml:space="preserve">FINANCIAMENTO</t>
  </si>
  <si>
    <t xml:space="preserve">Acesso ao FGTS como recurso próprio</t>
  </si>
  <si>
    <t xml:space="preserve">Sim</t>
  </si>
  <si>
    <t xml:space="preserve">FGTS é benefício exclusivo PF</t>
  </si>
  <si>
    <t xml:space="preserve">Acesso a financiamento CAIXA habitacional</t>
  </si>
  <si>
    <t xml:space="preserve">Sim (SBPE, MCMV, Pró-Cotista)</t>
  </si>
  <si>
    <t xml:space="preserve">Limitado — crédito imobiliário empresarial com taxas maiores</t>
  </si>
  <si>
    <t xml:space="preserve">MCMV é exclusivo PF</t>
  </si>
  <si>
    <t xml:space="preserve">Limite de financiamento CAIXA habitacional</t>
  </si>
  <si>
    <t xml:space="preserve">Até ~R$1,5M (SBPE) + FGTS</t>
  </si>
  <si>
    <t xml:space="preserve">Sem limite fixo, mas crédito empresarial</t>
  </si>
  <si>
    <t xml:space="preserve">Taxa de juros CAIXA habitacional</t>
  </si>
  <si>
    <t xml:space="preserve">TR + 8–12% a.a. (PF)</t>
  </si>
  <si>
    <t xml:space="preserve">CDI + spread (mais cara)</t>
  </si>
  <si>
    <t xml:space="preserve">Limite de imóveis financiados simultaneamente (PF)</t>
  </si>
  <si>
    <t xml:space="preserve">1 imóvel ativo c/ FGTS; mais de 1 com SBPE puro</t>
  </si>
  <si>
    <t xml:space="preserve">Sem limite por imóvel</t>
  </si>
  <si>
    <t xml:space="preserve">OPERAÇÃO E GESTÃO</t>
  </si>
  <si>
    <t xml:space="preserve">Responsabilidade civil e patrimonial</t>
  </si>
  <si>
    <t xml:space="preserve">Patrimônio pessoal exposto</t>
  </si>
  <si>
    <t xml:space="preserve">Patrimônio pessoal separado (se cumpridas formalidades)</t>
  </si>
  <si>
    <t xml:space="preserve">Escala — múltiplos imóveis / empreendimentos</t>
  </si>
  <si>
    <t xml:space="preserve">Mais burocrático</t>
  </si>
  <si>
    <t xml:space="preserve">Mais eficiente para escala</t>
  </si>
  <si>
    <t xml:space="preserve">Deduções de despesas operacionais</t>
  </si>
  <si>
    <t xml:space="preserve">Muito limitado</t>
  </si>
  <si>
    <t xml:space="preserve">Amplo (obras, serviços, mão de obra, etc.)</t>
  </si>
  <si>
    <t xml:space="preserve">Custos de abertura e manutenção da empresa</t>
  </si>
  <si>
    <t xml:space="preserve">Abertura + contador mensalmente</t>
  </si>
  <si>
    <t xml:space="preserve">Custo relevante para operações pequenas</t>
  </si>
  <si>
    <t xml:space="preserve">RECOMENDAÇÃO GERAL</t>
  </si>
  <si>
    <t xml:space="preserve">1 imóvel, uso próprio ou venda única</t>
  </si>
  <si>
    <t xml:space="preserve">✓ PF — mais simples e tax-efficient</t>
  </si>
  <si>
    <t xml:space="preserve">—</t>
  </si>
  <si>
    <t xml:space="preserve">1–3 imóveis para aluguel ou revenda</t>
  </si>
  <si>
    <t xml:space="preserve">✓ PF — isenções e FGTS compensam</t>
  </si>
  <si>
    <t xml:space="preserve">Avaliar a partir de ~R$6k aluguel/mês</t>
  </si>
  <si>
    <t xml:space="preserve">&gt;3 imóveis / incorporação / escala</t>
  </si>
  <si>
    <t xml:space="preserve">Complexo como PF</t>
  </si>
  <si>
    <t xml:space="preserve">✓ PJ — melhor proteção, escala e tributação</t>
  </si>
  <si>
    <t xml:space="preserve">SIMULADOR DE RETORNO — IMÓVEL STEEL FRAMING (ALUGUEL)</t>
  </si>
  <si>
    <t xml:space="preserve">Campos em AMARELO são editáveis — simule diferentes cenários alterando os inputs</t>
  </si>
  <si>
    <t xml:space="preserve">INVESTIMENTO</t>
  </si>
  <si>
    <t xml:space="preserve">Custo total do imóvel (terreno + construção) (R$)</t>
  </si>
  <si>
    <t xml:space="preserve">Recursos próprios investidos (R$)</t>
  </si>
  <si>
    <t xml:space="preserve">Valor financiado (R$)</t>
  </si>
  <si>
    <t xml:space="preserve">Prazo do financiamento (meses)</t>
  </si>
  <si>
    <t xml:space="preserve">Taxa de juros mensal do financiamento (%)</t>
  </si>
  <si>
    <t xml:space="preserve">RECEITA</t>
  </si>
  <si>
    <t xml:space="preserve">Aluguel mensal bruto (R$)</t>
  </si>
  <si>
    <t xml:space="preserve">Vacância estimada (% dos meses)</t>
  </si>
  <si>
    <t xml:space="preserve">CUSTOS MENSAIS</t>
  </si>
  <si>
    <t xml:space="preserve">IPTU (rateio mensal) (R$)</t>
  </si>
  <si>
    <t xml:space="preserve">Manutenção estimada (R$)</t>
  </si>
  <si>
    <t xml:space="preserve">Administração (% do aluguel)</t>
  </si>
  <si>
    <t xml:space="preserve">RESULTADOS</t>
  </si>
  <si>
    <t xml:space="preserve">Parcela mensal do financiamento (R$)</t>
  </si>
  <si>
    <t xml:space="preserve">Aluguel líquido de vacância (R$)</t>
  </si>
  <si>
    <t xml:space="preserve">Custo de administração (R$)</t>
  </si>
  <si>
    <t xml:space="preserve">Total de custos mensais (R$)</t>
  </si>
  <si>
    <t xml:space="preserve">FLUXO MENSAL LÍQUIDO (R$)</t>
  </si>
  <si>
    <t xml:space="preserve">Rentabilidade anual sobre capital próprio (%)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</si>
</sst>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&quot;#,##0"/>
    <numFmt numFmtId="166" formatCode="#,##0"/>
    <numFmt numFmtId="167" formatCode="0.000%"/>
    <numFmt numFmtId="168" formatCode="0%"/>
    <numFmt numFmtId="169" formatCode="&quot;R$&quot;#,##0.00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E5A8F"/>
        <bgColor rgb="FF555555"/>
      </patternFill>
    </fill>
    <fill>
      <patternFill patternType="solid">
        <fgColor rgb="FFD6E4F0"/>
        <bgColor rgb="FFF5F5F5"/>
      </patternFill>
    </fill>
    <fill>
      <patternFill patternType="solid">
        <fgColor rgb="FFFFFFFF"/>
        <bgColor rgb="FFFFFBE6"/>
      </patternFill>
    </fill>
    <fill>
      <patternFill patternType="solid">
        <fgColor rgb="FFF5F5F5"/>
        <bgColor rgb="FFFFF9E6"/>
      </patternFill>
    </fill>
    <fill>
      <patternFill patternType="solid">
        <fgColor rgb="FFFFF2CC"/>
        <bgColor rgb="FFFFF9E6"/>
      </patternFill>
    </fill>
    <fill>
      <patternFill patternType="solid">
        <fgColor rgb="FFFFF9E6"/>
        <bgColor rgb="FFFFFBE6"/>
      </patternFill>
    </fill>
    <fill>
      <patternFill patternType="solid">
        <fgColor rgb="FFFFFBE6"/>
        <bgColor rgb="FFFFF9E6"/>
      </patternFill>
    </fill>
    <fill>
      <patternFill patternType="solid">
        <fgColor rgb="FF1A3A5C"/>
        <bgColor rgb="FF44444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BE6"/>
      <rgbColor rgb="FFF5F5F5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9E6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03300"/>
      <rgbColor rgb="FF333300"/>
      <rgbColor rgb="FF993300"/>
      <rgbColor rgb="FF993366"/>
      <rgbColor rgb="FF2E5A8F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</cols>
  <sheetData>
    <row r="2" customFormat="false" ht="31.5" hidden="false" customHeight="true" outlineLevel="0" collapsed="false">
      <c r="B2" s="1" t="s">
        <v>0</v>
      </c>
      <c r="C2" s="1"/>
    </row>
    <row r="3" customFormat="false" ht="39.75" hidden="false" customHeight="true" outlineLevel="0" collapsed="false">
      <c r="B3" s="2" t="s">
        <v>1</v>
      </c>
      <c r="C3" s="2"/>
    </row>
    <row r="5" customFormat="false" ht="19.5" hidden="false" customHeight="true" outlineLevel="0" collapsed="false">
      <c r="B5" s="3" t="s">
        <v>2</v>
      </c>
      <c r="C5" s="3"/>
    </row>
    <row r="6" customFormat="false" ht="33.75" hidden="false" customHeight="true" outlineLevel="0" collapsed="false">
      <c r="B6" s="4" t="s">
        <v>3</v>
      </c>
      <c r="C6" s="5" t="s">
        <v>4</v>
      </c>
    </row>
    <row r="7" customFormat="false" ht="33.75" hidden="false" customHeight="true" outlineLevel="0" collapsed="false">
      <c r="B7" s="6" t="s">
        <v>5</v>
      </c>
      <c r="C7" s="7" t="s">
        <v>6</v>
      </c>
    </row>
    <row r="8" customFormat="false" ht="27.75" hidden="false" customHeight="true" outlineLevel="0" collapsed="false">
      <c r="B8" s="4" t="s">
        <v>7</v>
      </c>
      <c r="C8" s="5" t="s">
        <v>8</v>
      </c>
    </row>
    <row r="9" customFormat="false" ht="27" hidden="false" customHeight="true" outlineLevel="0" collapsed="false">
      <c r="B9" s="6" t="s">
        <v>9</v>
      </c>
      <c r="C9" s="7" t="s">
        <v>10</v>
      </c>
    </row>
    <row r="11" customFormat="false" ht="19.5" hidden="false" customHeight="true" outlineLevel="0" collapsed="false">
      <c r="B11" s="3" t="s">
        <v>11</v>
      </c>
      <c r="C11" s="3"/>
    </row>
    <row r="12" customFormat="false" ht="15" hidden="false" customHeight="true" outlineLevel="0" collapsed="false">
      <c r="B12" s="8" t="s">
        <v>12</v>
      </c>
      <c r="C12" s="9" t="s">
        <v>13</v>
      </c>
    </row>
    <row r="13" customFormat="false" ht="15.75" hidden="false" customHeight="true" outlineLevel="0" collapsed="false">
      <c r="B13" s="10" t="s">
        <v>14</v>
      </c>
      <c r="C13" s="11" t="s">
        <v>15</v>
      </c>
    </row>
    <row r="14" customFormat="false" ht="15" hidden="false" customHeight="true" outlineLevel="0" collapsed="false">
      <c r="B14" s="8" t="s">
        <v>16</v>
      </c>
      <c r="C14" s="9" t="s">
        <v>17</v>
      </c>
    </row>
    <row r="15" customFormat="false" ht="16.5" hidden="false" customHeight="true" outlineLevel="0" collapsed="false">
      <c r="B15" s="10" t="s">
        <v>18</v>
      </c>
      <c r="C15" s="11" t="s">
        <v>19</v>
      </c>
    </row>
    <row r="16" customFormat="false" ht="15" hidden="false" customHeight="true" outlineLevel="0" collapsed="false">
      <c r="B16" s="8" t="s">
        <v>20</v>
      </c>
      <c r="C16" s="9" t="s">
        <v>21</v>
      </c>
    </row>
    <row r="18" customFormat="false" ht="19.5" hidden="false" customHeight="true" outlineLevel="0" collapsed="false">
      <c r="B18" s="3" t="s">
        <v>22</v>
      </c>
      <c r="C18" s="3"/>
    </row>
    <row r="19" customFormat="false" ht="30.75" hidden="false" customHeight="true" outlineLevel="0" collapsed="false">
      <c r="B19" s="8" t="s">
        <v>23</v>
      </c>
      <c r="C19" s="9" t="s">
        <v>24</v>
      </c>
    </row>
    <row r="20" customFormat="false" ht="33" hidden="false" customHeight="true" outlineLevel="0" collapsed="false">
      <c r="B20" s="12" t="s">
        <v>25</v>
      </c>
      <c r="C20" s="13" t="s">
        <v>26</v>
      </c>
    </row>
    <row r="21" customFormat="false" ht="30" hidden="false" customHeight="true" outlineLevel="0" collapsed="false">
      <c r="B21" s="8" t="s">
        <v>27</v>
      </c>
      <c r="C21" s="9" t="s">
        <v>28</v>
      </c>
    </row>
    <row r="22" customFormat="false" ht="30.75" hidden="false" customHeight="true" outlineLevel="0" collapsed="false">
      <c r="B22" s="12" t="s">
        <v>29</v>
      </c>
      <c r="C22" s="13" t="s">
        <v>30</v>
      </c>
    </row>
    <row r="24" customFormat="false" ht="15" hidden="false" customHeight="false" outlineLevel="0" collapsed="false">
      <c r="B24" s="14" t="s">
        <v>31</v>
      </c>
      <c r="C24" s="14"/>
    </row>
  </sheetData>
  <mergeCells count="6">
    <mergeCell ref="B2:C2"/>
    <mergeCell ref="B3:C3"/>
    <mergeCell ref="B5:C5"/>
    <mergeCell ref="B11:C11"/>
    <mergeCell ref="B18:C18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4"/>
    <col collapsed="false" customWidth="true" hidden="false" outlineLevel="0" max="2" min="2" style="15" width="38"/>
    <col collapsed="false" customWidth="true" hidden="false" outlineLevel="0" max="4" min="3" style="15" width="16"/>
    <col collapsed="false" customWidth="true" hidden="false" outlineLevel="0" max="5" min="5" style="15" width="20"/>
  </cols>
  <sheetData>
    <row r="1" customFormat="false" ht="31.5" hidden="false" customHeight="true" outlineLevel="0" collapsed="false">
      <c r="A1" s="16" t="s">
        <v>32</v>
      </c>
      <c r="B1" s="16"/>
      <c r="C1" s="16"/>
      <c r="D1" s="16"/>
      <c r="E1" s="16"/>
      <c r="F1" s="16"/>
      <c r="G1" s="16"/>
      <c r="H1" s="16"/>
      <c r="I1" s="16"/>
    </row>
    <row r="2" customFormat="false" ht="15" hidden="false" customHeight="true" outlineLevel="0" collapsed="false">
      <c r="A2" s="17" t="s">
        <v>33</v>
      </c>
      <c r="B2" s="17"/>
      <c r="C2" s="17"/>
      <c r="D2" s="17"/>
      <c r="E2" s="17"/>
      <c r="F2" s="17"/>
      <c r="G2" s="17"/>
      <c r="H2" s="17"/>
      <c r="I2" s="17"/>
    </row>
    <row r="3" customFormat="false" ht="19.5" hidden="false" customHeight="true" outlineLevel="0" collapsed="false">
      <c r="A3" s="18"/>
      <c r="B3" s="18" t="s">
        <v>34</v>
      </c>
      <c r="C3" s="18" t="s">
        <v>35</v>
      </c>
      <c r="D3" s="18" t="s">
        <v>36</v>
      </c>
      <c r="E3" s="18" t="s">
        <v>37</v>
      </c>
    </row>
    <row r="4" customFormat="false" ht="19.5" hidden="false" customHeight="true" outlineLevel="0" collapsed="false">
      <c r="B4" s="19" t="s">
        <v>38</v>
      </c>
      <c r="C4" s="19"/>
      <c r="D4" s="19"/>
      <c r="E4" s="19"/>
    </row>
    <row r="5" customFormat="false" ht="30" hidden="false" customHeight="true" outlineLevel="0" collapsed="false">
      <c r="B5" s="20" t="s">
        <v>39</v>
      </c>
      <c r="C5" s="20" t="s">
        <v>40</v>
      </c>
      <c r="D5" s="20" t="s">
        <v>41</v>
      </c>
      <c r="E5" s="20" t="s">
        <v>42</v>
      </c>
    </row>
    <row r="6" customFormat="false" ht="30" hidden="false" customHeight="true" outlineLevel="0" collapsed="false">
      <c r="B6" s="21" t="s">
        <v>43</v>
      </c>
      <c r="C6" s="21" t="s">
        <v>44</v>
      </c>
      <c r="D6" s="21" t="s">
        <v>45</v>
      </c>
      <c r="E6" s="21"/>
    </row>
    <row r="7" customFormat="false" ht="30" hidden="false" customHeight="true" outlineLevel="0" collapsed="false">
      <c r="B7" s="20" t="s">
        <v>46</v>
      </c>
      <c r="C7" s="20" t="s">
        <v>47</v>
      </c>
      <c r="D7" s="20" t="s">
        <v>48</v>
      </c>
      <c r="E7" s="20" t="s">
        <v>49</v>
      </c>
    </row>
    <row r="8" customFormat="false" ht="30" hidden="false" customHeight="true" outlineLevel="0" collapsed="false">
      <c r="B8" s="21" t="s">
        <v>50</v>
      </c>
      <c r="C8" s="21" t="s">
        <v>51</v>
      </c>
      <c r="D8" s="21" t="s">
        <v>52</v>
      </c>
      <c r="E8" s="21"/>
    </row>
    <row r="9" customFormat="false" ht="30" hidden="false" customHeight="true" outlineLevel="0" collapsed="false">
      <c r="B9" s="20" t="s">
        <v>53</v>
      </c>
      <c r="C9" s="20" t="s">
        <v>54</v>
      </c>
      <c r="D9" s="20" t="s">
        <v>55</v>
      </c>
      <c r="E9" s="20" t="s">
        <v>56</v>
      </c>
    </row>
    <row r="10" customFormat="false" ht="19.5" hidden="false" customHeight="true" outlineLevel="0" collapsed="false">
      <c r="B10" s="19" t="s">
        <v>57</v>
      </c>
      <c r="C10" s="19"/>
      <c r="D10" s="19"/>
      <c r="E10" s="19"/>
    </row>
    <row r="11" customFormat="false" ht="30" hidden="false" customHeight="true" outlineLevel="0" collapsed="false">
      <c r="B11" s="20" t="s">
        <v>58</v>
      </c>
      <c r="C11" s="20" t="s">
        <v>59</v>
      </c>
      <c r="D11" s="20" t="s">
        <v>48</v>
      </c>
      <c r="E11" s="20" t="s">
        <v>60</v>
      </c>
    </row>
    <row r="12" customFormat="false" ht="30" hidden="false" customHeight="true" outlineLevel="0" collapsed="false">
      <c r="B12" s="21" t="s">
        <v>61</v>
      </c>
      <c r="C12" s="21" t="s">
        <v>62</v>
      </c>
      <c r="D12" s="21" t="s">
        <v>63</v>
      </c>
      <c r="E12" s="21" t="s">
        <v>64</v>
      </c>
    </row>
    <row r="13" customFormat="false" ht="30" hidden="false" customHeight="true" outlineLevel="0" collapsed="false">
      <c r="B13" s="20" t="s">
        <v>65</v>
      </c>
      <c r="C13" s="20" t="s">
        <v>66</v>
      </c>
      <c r="D13" s="20" t="s">
        <v>67</v>
      </c>
      <c r="E13" s="20"/>
    </row>
    <row r="14" customFormat="false" ht="30" hidden="false" customHeight="true" outlineLevel="0" collapsed="false">
      <c r="B14" s="21" t="s">
        <v>68</v>
      </c>
      <c r="C14" s="21" t="s">
        <v>69</v>
      </c>
      <c r="D14" s="21" t="s">
        <v>70</v>
      </c>
      <c r="E14" s="21"/>
    </row>
    <row r="15" customFormat="false" ht="30" hidden="false" customHeight="true" outlineLevel="0" collapsed="false">
      <c r="B15" s="20" t="s">
        <v>71</v>
      </c>
      <c r="C15" s="20" t="s">
        <v>72</v>
      </c>
      <c r="D15" s="20" t="s">
        <v>73</v>
      </c>
      <c r="E15" s="20"/>
    </row>
    <row r="16" customFormat="false" ht="19.5" hidden="false" customHeight="true" outlineLevel="0" collapsed="false">
      <c r="B16" s="19" t="s">
        <v>74</v>
      </c>
      <c r="C16" s="19"/>
      <c r="D16" s="19"/>
      <c r="E16" s="19"/>
    </row>
    <row r="17" customFormat="false" ht="30" hidden="false" customHeight="true" outlineLevel="0" collapsed="false">
      <c r="B17" s="20" t="s">
        <v>75</v>
      </c>
      <c r="C17" s="20" t="s">
        <v>76</v>
      </c>
      <c r="D17" s="20" t="s">
        <v>77</v>
      </c>
      <c r="E17" s="20"/>
    </row>
    <row r="18" customFormat="false" ht="30" hidden="false" customHeight="true" outlineLevel="0" collapsed="false">
      <c r="B18" s="21" t="s">
        <v>78</v>
      </c>
      <c r="C18" s="21" t="s">
        <v>79</v>
      </c>
      <c r="D18" s="21" t="s">
        <v>80</v>
      </c>
      <c r="E18" s="21"/>
    </row>
    <row r="19" customFormat="false" ht="30" hidden="false" customHeight="true" outlineLevel="0" collapsed="false">
      <c r="B19" s="20" t="s">
        <v>81</v>
      </c>
      <c r="C19" s="20" t="s">
        <v>82</v>
      </c>
      <c r="D19" s="20" t="s">
        <v>83</v>
      </c>
      <c r="E19" s="20"/>
    </row>
    <row r="20" customFormat="false" ht="30" hidden="false" customHeight="true" outlineLevel="0" collapsed="false">
      <c r="B20" s="21" t="s">
        <v>84</v>
      </c>
      <c r="C20" s="21" t="s">
        <v>45</v>
      </c>
      <c r="D20" s="21" t="s">
        <v>85</v>
      </c>
      <c r="E20" s="21" t="s">
        <v>86</v>
      </c>
    </row>
    <row r="21" customFormat="false" ht="19.5" hidden="false" customHeight="true" outlineLevel="0" collapsed="false">
      <c r="B21" s="19" t="s">
        <v>87</v>
      </c>
      <c r="C21" s="19"/>
      <c r="D21" s="19"/>
      <c r="E21" s="19"/>
    </row>
    <row r="22" customFormat="false" ht="30" hidden="false" customHeight="true" outlineLevel="0" collapsed="false">
      <c r="B22" s="21" t="s">
        <v>88</v>
      </c>
      <c r="C22" s="21" t="s">
        <v>89</v>
      </c>
      <c r="D22" s="21" t="s">
        <v>90</v>
      </c>
      <c r="E22" s="21"/>
    </row>
    <row r="23" customFormat="false" ht="30" hidden="false" customHeight="true" outlineLevel="0" collapsed="false">
      <c r="B23" s="20" t="s">
        <v>91</v>
      </c>
      <c r="C23" s="20" t="s">
        <v>92</v>
      </c>
      <c r="D23" s="20" t="s">
        <v>93</v>
      </c>
      <c r="E23" s="20"/>
    </row>
    <row r="24" customFormat="false" ht="30" hidden="false" customHeight="true" outlineLevel="0" collapsed="false">
      <c r="B24" s="21" t="s">
        <v>94</v>
      </c>
      <c r="C24" s="21" t="s">
        <v>95</v>
      </c>
      <c r="D24" s="21" t="s">
        <v>96</v>
      </c>
      <c r="E24" s="21"/>
    </row>
  </sheetData>
  <mergeCells count="6">
    <mergeCell ref="A1:I1"/>
    <mergeCell ref="A2:I2"/>
    <mergeCell ref="B4:E4"/>
    <mergeCell ref="B10:E10"/>
    <mergeCell ref="B16:E16"/>
    <mergeCell ref="B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5" width="4"/>
    <col collapsed="false" customWidth="true" hidden="false" outlineLevel="0" max="2" min="2" style="15" width="38"/>
    <col collapsed="false" customWidth="true" hidden="false" outlineLevel="0" max="4" min="3" style="15" width="18"/>
    <col collapsed="false" customWidth="true" hidden="false" outlineLevel="0" max="5" min="5" style="15" width="22"/>
    <col collapsed="false" customWidth="true" hidden="false" outlineLevel="0" max="6" min="6" style="15" width="18"/>
  </cols>
  <sheetData>
    <row r="1" customFormat="false" ht="31.5" hidden="false" customHeight="true" outlineLevel="0" collapsed="false">
      <c r="A1" s="16" t="s">
        <v>97</v>
      </c>
      <c r="B1" s="16"/>
      <c r="C1" s="16"/>
      <c r="D1" s="16"/>
      <c r="E1" s="16"/>
      <c r="F1" s="16"/>
    </row>
    <row r="2" customFormat="false" ht="15" hidden="false" customHeight="true" outlineLevel="0" collapsed="false">
      <c r="A2" s="17" t="s">
        <v>98</v>
      </c>
      <c r="B2" s="17"/>
      <c r="C2" s="17"/>
      <c r="D2" s="17"/>
      <c r="E2" s="17"/>
      <c r="F2" s="17"/>
    </row>
    <row r="3" customFormat="false" ht="19.5" hidden="false" customHeight="true" outlineLevel="0" collapsed="false">
      <c r="B3" s="19" t="s">
        <v>99</v>
      </c>
      <c r="C3" s="19"/>
      <c r="D3" s="19"/>
      <c r="E3" s="19"/>
      <c r="F3" s="19"/>
    </row>
    <row r="4" customFormat="false" ht="19.5" hidden="false" customHeight="true" outlineLevel="0" collapsed="false">
      <c r="B4" s="22" t="s">
        <v>100</v>
      </c>
      <c r="C4" s="23" t="n">
        <v>400000</v>
      </c>
    </row>
    <row r="5" customFormat="false" ht="19.5" hidden="false" customHeight="true" outlineLevel="0" collapsed="false">
      <c r="B5" s="22" t="s">
        <v>101</v>
      </c>
      <c r="C5" s="23" t="n">
        <v>120000</v>
      </c>
    </row>
    <row r="6" customFormat="false" ht="19.5" hidden="false" customHeight="true" outlineLevel="0" collapsed="false">
      <c r="B6" s="22" t="s">
        <v>102</v>
      </c>
      <c r="C6" s="23" t="n">
        <v>280000</v>
      </c>
    </row>
    <row r="7" customFormat="false" ht="19.5" hidden="false" customHeight="true" outlineLevel="0" collapsed="false">
      <c r="B7" s="22" t="s">
        <v>103</v>
      </c>
      <c r="C7" s="24" t="n">
        <v>240</v>
      </c>
    </row>
    <row r="8" customFormat="false" ht="19.5" hidden="false" customHeight="true" outlineLevel="0" collapsed="false">
      <c r="B8" s="22" t="s">
        <v>104</v>
      </c>
      <c r="C8" s="25" t="n">
        <v>0.0075</v>
      </c>
    </row>
    <row r="9" customFormat="false" ht="19.5" hidden="false" customHeight="true" outlineLevel="0" collapsed="false">
      <c r="B9" s="19" t="s">
        <v>105</v>
      </c>
      <c r="C9" s="19"/>
      <c r="D9" s="19"/>
      <c r="E9" s="19"/>
      <c r="F9" s="19"/>
    </row>
    <row r="10" customFormat="false" ht="19.5" hidden="false" customHeight="true" outlineLevel="0" collapsed="false">
      <c r="B10" s="22" t="s">
        <v>106</v>
      </c>
      <c r="C10" s="23" t="n">
        <v>2800</v>
      </c>
    </row>
    <row r="11" customFormat="false" ht="19.5" hidden="false" customHeight="true" outlineLevel="0" collapsed="false">
      <c r="B11" s="22" t="s">
        <v>107</v>
      </c>
      <c r="C11" s="26" t="n">
        <v>0.08</v>
      </c>
    </row>
    <row r="12" customFormat="false" ht="19.5" hidden="false" customHeight="true" outlineLevel="0" collapsed="false">
      <c r="B12" s="19" t="s">
        <v>108</v>
      </c>
      <c r="C12" s="19"/>
      <c r="D12" s="19"/>
      <c r="E12" s="19"/>
      <c r="F12" s="19"/>
    </row>
    <row r="13" customFormat="false" ht="19.5" hidden="false" customHeight="true" outlineLevel="0" collapsed="false">
      <c r="B13" s="22" t="s">
        <v>109</v>
      </c>
      <c r="C13" s="23" t="n">
        <v>80</v>
      </c>
    </row>
    <row r="14" customFormat="false" ht="19.5" hidden="false" customHeight="true" outlineLevel="0" collapsed="false">
      <c r="B14" s="22" t="s">
        <v>110</v>
      </c>
      <c r="C14" s="23" t="n">
        <v>120</v>
      </c>
    </row>
    <row r="15" customFormat="false" ht="19.5" hidden="false" customHeight="true" outlineLevel="0" collapsed="false">
      <c r="B15" s="22" t="s">
        <v>111</v>
      </c>
      <c r="C15" s="26" t="n">
        <v>0.08</v>
      </c>
    </row>
    <row r="17" customFormat="false" ht="19.5" hidden="false" customHeight="true" outlineLevel="0" collapsed="false">
      <c r="B17" s="19" t="s">
        <v>112</v>
      </c>
      <c r="C17" s="19"/>
      <c r="D17" s="19"/>
      <c r="E17" s="19"/>
      <c r="F17" s="19"/>
    </row>
    <row r="18" customFormat="false" ht="19.5" hidden="false" customHeight="true" outlineLevel="0" collapsed="false">
      <c r="B18" s="22" t="s">
        <v>113</v>
      </c>
      <c r="C18" s="27" t="n">
        <f aca="false">IFERROR(-PMT(C9,C10,C8),0)</f>
        <v>2.67857142857143E-006</v>
      </c>
    </row>
    <row r="19" customFormat="false" ht="19.5" hidden="false" customHeight="true" outlineLevel="0" collapsed="false">
      <c r="B19" s="22" t="s">
        <v>114</v>
      </c>
      <c r="C19" s="27" t="n">
        <f aca="false">C10*(1-C11)</f>
        <v>2576</v>
      </c>
    </row>
    <row r="20" customFormat="false" ht="19.5" hidden="false" customHeight="true" outlineLevel="0" collapsed="false">
      <c r="B20" s="22" t="s">
        <v>115</v>
      </c>
      <c r="C20" s="27" t="n">
        <f aca="false">C10*C15</f>
        <v>224</v>
      </c>
    </row>
    <row r="21" customFormat="false" ht="19.5" hidden="false" customHeight="true" outlineLevel="0" collapsed="false">
      <c r="B21" s="22" t="s">
        <v>116</v>
      </c>
      <c r="C21" s="27" t="n">
        <f aca="false">C13+C14+C10*C15</f>
        <v>424</v>
      </c>
    </row>
    <row r="22" customFormat="false" ht="24" hidden="false" customHeight="true" outlineLevel="0" collapsed="false">
      <c r="B22" s="28" t="s">
        <v>117</v>
      </c>
      <c r="C22" s="29" t="n">
        <f aca="false">C19-C18-C21</f>
        <v>2151.99999732143</v>
      </c>
    </row>
    <row r="23" customFormat="false" ht="19.5" hidden="false" customHeight="true" outlineLevel="0" collapsed="false">
      <c r="B23" s="22" t="s">
        <v>118</v>
      </c>
      <c r="C23" s="30" t="n">
        <f aca="false">IFERROR((C22*12)/C7,0)</f>
        <v>107.599999866071</v>
      </c>
    </row>
  </sheetData>
  <mergeCells count="6">
    <mergeCell ref="A1:F1"/>
    <mergeCell ref="A2:F2"/>
    <mergeCell ref="B3:F3"/>
    <mergeCell ref="B9:F9"/>
    <mergeCell ref="B12:F12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2026-09-10T19:21:44Z</dcterms:created>
  <dc:creator>openpyxl</dc:creator>
  <dc:description/>
  <dc:language>en-US</dc:language>
  <cp:lastModifiedBy/>
  <dcterms:modified xsi:type="dcterms:W3CDTF">2026-09-10T19:39:48Z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