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Análise" sheetId="2" state="visible" r:id="rId4"/>
    <sheet name="Cená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<sst xmlns="http://schemas.openxmlformats.org/spreadsheetml/2006/main" count="101" uniqueCount="91">
  <si>
    <t xml:space="preserve">Planilha de Viabilidade — Steel Framing  |  Como Usar</t>
  </si>
  <si>
    <t xml:space="preserve">O que é esta planilha</t>
  </si>
  <si>
    <t xml:space="preserve">Esta planilha permite calcular os principais indicadores de retorno de um empreendimento imobiliário: Payback, Yield anual e ROI acumulado. Também compara o impacto financeiro do prazo de obra entre Steel Framing e sistema convencional.
Ela não é uma calculadora automática de viabilidade — é um modelo para você organizar os dados do seu projeto e entender como cada variável afeta o resultado.</t>
  </si>
  <si>
    <t xml:space="preserve">Legenda de cores</t>
  </si>
  <si>
    <t xml:space="preserve">R$ 1.200.000</t>
  </si>
  <si>
    <t xml:space="preserve">Célula de entrada (azul) — preencha com o valor real do seu projeto</t>
  </si>
  <si>
    <t xml:space="preserve">R$ 49.500</t>
  </si>
  <si>
    <t xml:space="preserve">Célula calculada — resultado automático, não editar</t>
  </si>
  <si>
    <t xml:space="preserve">17,8%</t>
  </si>
  <si>
    <t xml:space="preserve">Indicador principal — resultado-chave do empreendimento</t>
  </si>
  <si>
    <t xml:space="preserve">Passo a passo — Aba 'Análise'</t>
  </si>
  <si>
    <t xml:space="preserve">  1 → CAPEX</t>
  </si>
  <si>
    <t xml:space="preserve">Preencha os custos totais do empreendimento: terreno, projetos, construção, mobiliário e outros.
Não inclua apenas o custo da obra — inclua tudo que for necessário para colocar o ativo em operação.</t>
  </si>
  <si>
    <t xml:space="preserve">  2 → PRAZO</t>
  </si>
  <si>
    <t xml:space="preserve">Informe o prazo estimado de obra para cada sistema (em meses).
A planilha calcula automaticamente quantos meses o Steel Framing anteciparia a entrada em operação.</t>
  </si>
  <si>
    <t xml:space="preserve">  3 → RECEITA</t>
  </si>
  <si>
    <t xml:space="preserve">Preencha: número de unidades, diária média (R$), taxa de ocupação (%) e noites disponíveis por mês.
Use dados reais da sua região — pesquise anúncios de concorrentes antes de estimar.</t>
  </si>
  <si>
    <t xml:space="preserve">  4 → OPEX</t>
  </si>
  <si>
    <t xml:space="preserve">Informe o percentual de despesas operacionais sobre a receita bruta.
O padrão sugerido é 40%, mas pode variar conforme o modelo de operação. Inclua energia, limpeza, manutenção, plataformas, administração e seguros.</t>
  </si>
  <si>
    <t xml:space="preserve">  5 → RESULTADOS</t>
  </si>
  <si>
    <t xml:space="preserve">Leia os três indicadores calculados automaticamente:
• Payback: em quantos anos o fluxo operacional recupera o capital investido
• Yield: quanto o ativo gera de renda por ano em relação ao CAPEX
• ROI acumulado em 10 anos: retorno total sobre o capital</t>
  </si>
  <si>
    <t xml:space="preserve">  6 → IMPACTO DO PRAZO</t>
  </si>
  <si>
    <t xml:space="preserve">Informe a diferença de CAPEX entre os dois sistemas (positivo se SF for mais caro).
A planilha calcula o resultado operacional antecipado pelo menor prazo do SF e mostra se essa antecipação compensa a diferença de custo.</t>
  </si>
  <si>
    <t xml:space="preserve">Passo a passo — Aba 'Cenários'</t>
  </si>
  <si>
    <t xml:space="preserve">A aba Cenários permite comparar três projeções lado a lado: Conservador, Provável e Otimista.
Os valores já estão preenchidos com os exemplos do artigo 'Como calcular o ROI em Steel Framing'. Substitua pelas premissas do seu empreendimento em cada coluna e compare como o resultado muda dependendo da diária, da ocupação e do OPEX.</t>
  </si>
  <si>
    <t xml:space="preserve">Atenção antes de usar</t>
  </si>
  <si>
    <t xml:space="preserve">  ⚠  1</t>
  </si>
  <si>
    <t xml:space="preserve">Tributação não está incluída. Dependendo do regime (IRPF, Simples, Lucro Presumido), o resultado líquido pode ser significativamente diferente. Consulte um contador.</t>
  </si>
  <si>
    <t xml:space="preserve">  ⚠  2</t>
  </si>
  <si>
    <t xml:space="preserve">Esta planilha usa fluxo de caixa simples, sem correção monetária, sem reinvestimento e sem variação de receita ao longo do tempo. Para análises mais complexas, use VPL e TIR.</t>
  </si>
  <si>
    <t xml:space="preserve">  ⚠  3</t>
  </si>
  <si>
    <t xml:space="preserve">Os valores de exemplo (5 chalés, R$550 diária, 60% de ocupação) são hipotéticos — substitua pelos dados reais do seu projeto e da sua região.</t>
  </si>
  <si>
    <t xml:space="preserve">  ⚠  4</t>
  </si>
  <si>
    <t xml:space="preserve">Não use dados nacionais para estimar receita local. Pesquise anúncios reais de concorrentes na região do empreendimento antes de definir diária e ocupação.</t>
  </si>
  <si>
    <t xml:space="preserve">steelframing.com.br  —  Este arquivo é um recurso educacional gratuito. Não substitui análise financeira ou contábil profissional.</t>
  </si>
  <si>
    <t xml:space="preserve">Planilha de Viabilidade — Empreendimento em Steel Framing</t>
  </si>
  <si>
    <t xml:space="preserve">Células em azul = preencha com os dados do seu projeto   |   Células cinzas = calculadas automaticamente</t>
  </si>
  <si>
    <t xml:space="preserve">1. CAPEX — Investimento total</t>
  </si>
  <si>
    <t xml:space="preserve">Terreno</t>
  </si>
  <si>
    <t xml:space="preserve">Projetos e aprovações</t>
  </si>
  <si>
    <t xml:space="preserve">Construção</t>
  </si>
  <si>
    <t xml:space="preserve">Mobiliário e implantação</t>
  </si>
  <si>
    <t xml:space="preserve">Outros</t>
  </si>
  <si>
    <t xml:space="preserve">CAPEX TOTAL</t>
  </si>
  <si>
    <t xml:space="preserve">2. Prazo — Comparativo entre sistemas</t>
  </si>
  <si>
    <t xml:space="preserve">Sistema convencional (meses de obra)</t>
  </si>
  <si>
    <t xml:space="preserve">Steel Framing (meses de obra)</t>
  </si>
  <si>
    <t xml:space="preserve">Meses antecipados pelo Steel Framing</t>
  </si>
  <si>
    <t xml:space="preserve">3. Receita — Projeção mensal</t>
  </si>
  <si>
    <t xml:space="preserve">Número de unidades</t>
  </si>
  <si>
    <t xml:space="preserve">Diária média (R$)</t>
  </si>
  <si>
    <t xml:space="preserve">Taxa de ocupação (%)</t>
  </si>
  <si>
    <t xml:space="preserve">Noites disponíveis por mês</t>
  </si>
  <si>
    <t xml:space="preserve">  → Noites ocupadas por unidade/mês</t>
  </si>
  <si>
    <t xml:space="preserve">  → Receita por unidade/mês</t>
  </si>
  <si>
    <t xml:space="preserve">Receita bruta mensal</t>
  </si>
  <si>
    <t xml:space="preserve">Receita bruta anual</t>
  </si>
  <si>
    <t xml:space="preserve">4. OPEX — Despesas operacionais</t>
  </si>
  <si>
    <t xml:space="preserve">OPEX (% da receita bruta)</t>
  </si>
  <si>
    <t xml:space="preserve">Energia, limpeza, manutenção, plataformas, administração, seguros, reposição de mobiliário</t>
  </si>
  <si>
    <t xml:space="preserve">OPEX mensal</t>
  </si>
  <si>
    <t xml:space="preserve">Resultado operacional mensal</t>
  </si>
  <si>
    <t xml:space="preserve">Resultado operacional anual</t>
  </si>
  <si>
    <t xml:space="preserve">5. Indicadores de retorno</t>
  </si>
  <si>
    <t xml:space="preserve">Payback simples</t>
  </si>
  <si>
    <t xml:space="preserve">Yield anual</t>
  </si>
  <si>
    <t xml:space="preserve">ROI acumulado em 10 anos</t>
  </si>
  <si>
    <t xml:space="preserve">6. Impacto do prazo — Steel Framing vs. sistema convencional</t>
  </si>
  <si>
    <t xml:space="preserve">Diferença de CAPEX (SF − convencional)</t>
  </si>
  <si>
    <t xml:space="preserve">Positivo = SF mais caro; negativo = SF mais barato</t>
  </si>
  <si>
    <t xml:space="preserve">Resultado antecipado pelos meses extras de operação</t>
  </si>
  <si>
    <t xml:space="preserve">Diferença líquida (antecipado − delta de CAPEX)</t>
  </si>
  <si>
    <t xml:space="preserve">    Positivo = Steel Framing se paga financeiramente mesmo custando mais, graças à antecipação da receita</t>
  </si>
  <si>
    <t xml:space="preserve">⚠  Esta planilha não substitui análise financeira ou contábil profissional. Tributação (IRPF, ISS, PJ) não está incluída — consulte um contador antes de fechar as projeções.</t>
  </si>
  <si>
    <t xml:space="preserve">Análise de Cenários</t>
  </si>
  <si>
    <t xml:space="preserve">Conservador</t>
  </si>
  <si>
    <t xml:space="preserve">Provável</t>
  </si>
  <si>
    <t xml:space="preserve">Otimista</t>
  </si>
  <si>
    <t xml:space="preserve">Premissas (editar)</t>
  </si>
  <si>
    <t xml:space="preserve">CAPEX total (R$)</t>
  </si>
  <si>
    <t xml:space="preserve">OPEX (% receita bruta)</t>
  </si>
  <si>
    <t xml:space="preserve">Noites disponíveis/mês</t>
  </si>
  <si>
    <t xml:space="preserve">Prazo SF (meses)</t>
  </si>
  <si>
    <t xml:space="preserve">Prazo convencional (meses)</t>
  </si>
  <si>
    <t xml:space="preserve">Delta de CAPEX SF vs. convencional (R$)</t>
  </si>
  <si>
    <t xml:space="preserve">Resultados (calculados automaticamente)</t>
  </si>
  <si>
    <t xml:space="preserve">Indicadores-chave</t>
  </si>
  <si>
    <t xml:space="preserve">Impacto do prazo</t>
  </si>
  <si>
    <t xml:space="preserve">Meses antecipados pelo SF</t>
  </si>
  <si>
    <t xml:space="preserve">Resultado antecipado (R$)</t>
  </si>
  <si>
    <t xml:space="preserve">Diferença líquida (antecipado − delta CAPEX)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</si>
</sst>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"/>
    <numFmt numFmtId="166" formatCode="0&quot; meses&quot;"/>
    <numFmt numFmtId="167" formatCode="0.0%"/>
    <numFmt numFmtId="168" formatCode="0.0&quot; noites&quot;"/>
    <numFmt numFmtId="169" formatCode="0.0&quot; anos&quot;"/>
    <numFmt numFmtId="170" formatCode="0"/>
    <numFmt numFmtId="171" formatCode="0\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AFAF8"/>
      <name val="Arial"/>
      <family val="0"/>
      <charset val="1"/>
    </font>
    <font>
      <b val="true"/>
      <sz val="11"/>
      <color rgb="FFFAFAF8"/>
      <name val="Arial"/>
      <family val="0"/>
      <charset val="1"/>
    </font>
    <font>
      <sz val="10"/>
      <color rgb="FF0B0F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2E5A8F"/>
      <name val="Arial"/>
      <family val="0"/>
      <charset val="1"/>
    </font>
    <font>
      <b val="true"/>
      <sz val="10"/>
      <color rgb="FF7B4F00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FAFAF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AFAF8"/>
      <name val="Arial"/>
      <family val="0"/>
      <charset val="1"/>
    </font>
    <font>
      <b val="true"/>
      <sz val="10"/>
      <color rgb="FF0B0F10"/>
      <name val="Arial"/>
      <family val="0"/>
      <charset val="1"/>
    </font>
    <font>
      <b val="true"/>
      <sz val="11"/>
      <color rgb="FF2E5A8F"/>
      <name val="Arial"/>
      <family val="0"/>
      <charset val="1"/>
    </font>
    <font>
      <sz val="9"/>
      <color rgb="FF777777"/>
      <name val="Arial"/>
      <family val="0"/>
      <charset val="1"/>
    </font>
    <font>
      <i val="true"/>
      <sz val="9"/>
      <color rgb="FF777777"/>
      <name val="Arial"/>
      <family val="0"/>
      <charset val="1"/>
    </font>
    <font>
      <i val="true"/>
      <sz val="9"/>
      <color rgb="FF990000"/>
      <name val="Arial"/>
      <family val="0"/>
      <charset val="1"/>
    </font>
    <font>
      <b val="true"/>
      <sz val="11"/>
      <color rgb="FF0B0F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F6A"/>
        <bgColor rgb="FF2E5A8F"/>
      </patternFill>
    </fill>
    <fill>
      <patternFill patternType="solid">
        <fgColor rgb="FFFAFAF8"/>
        <bgColor rgb="FFFFFDE7"/>
      </patternFill>
    </fill>
    <fill>
      <patternFill patternType="solid">
        <fgColor rgb="FF2E5A8F"/>
        <bgColor rgb="FF1B3F6A"/>
      </patternFill>
    </fill>
    <fill>
      <patternFill patternType="solid">
        <fgColor rgb="FFFFFDE7"/>
        <bgColor rgb="FFFAFAF8"/>
      </patternFill>
    </fill>
    <fill>
      <patternFill patternType="solid">
        <fgColor rgb="FFD6E4F0"/>
        <bgColor rgb="FFE3EEF7"/>
      </patternFill>
    </fill>
    <fill>
      <patternFill patternType="solid">
        <fgColor rgb="FFE3EEF7"/>
        <bgColor rgb="FFE8F5E9"/>
      </patternFill>
    </fill>
    <fill>
      <patternFill patternType="solid">
        <fgColor rgb="FF4A7DB5"/>
        <bgColor rgb="FF777777"/>
      </patternFill>
    </fill>
    <fill>
      <patternFill patternType="solid">
        <fgColor rgb="FFFFF3CD"/>
        <bgColor rgb="FFFFF9C4"/>
      </patternFill>
    </fill>
    <fill>
      <patternFill patternType="solid">
        <fgColor rgb="FFF0F4F8"/>
        <bgColor rgb="FFE8F5E9"/>
      </patternFill>
    </fill>
    <fill>
      <patternFill patternType="solid">
        <fgColor rgb="FFE8F5E9"/>
        <bgColor rgb="FFF0F4F8"/>
      </patternFill>
    </fill>
    <fill>
      <patternFill patternType="solid">
        <fgColor rgb="FFFFF9C4"/>
        <bgColor rgb="FFFFF3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8" fontId="6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8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E3EE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4F8"/>
      <rgbColor rgb="FFFFF3CD"/>
      <rgbColor rgb="FF99CCFF"/>
      <rgbColor rgb="FFFF99CC"/>
      <rgbColor rgb="FFCC99FF"/>
      <rgbColor rgb="FFFFFDE7"/>
      <rgbColor rgb="FF4A7DB5"/>
      <rgbColor rgb="FF33CCCC"/>
      <rgbColor rgb="FF99CC00"/>
      <rgbColor rgb="FFFFCC00"/>
      <rgbColor rgb="FFFF9900"/>
      <rgbColor rgb="FFFF6600"/>
      <rgbColor rgb="FF777777"/>
      <rgbColor rgb="FF969696"/>
      <rgbColor rgb="FF1B3F6A"/>
      <rgbColor rgb="FF339966"/>
      <rgbColor rgb="FF0B0F10"/>
      <rgbColor rgb="FF333300"/>
      <rgbColor rgb="FF7B4F00"/>
      <rgbColor rgb="FF993366"/>
      <rgbColor rgb="FF2E5A8F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F6A"/>
    <pageSetUpPr fitToPage="false"/>
  </sheetPr>
  <dimension ref="A1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38"/>
    <col collapsed="false" customWidth="true" hidden="false" outlineLevel="0" max="4" min="4" style="0" width="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9.75" hidden="false" customHeight="true" outlineLevel="0" collapsed="false">
      <c r="A2" s="2"/>
      <c r="B2" s="3"/>
      <c r="C2" s="3"/>
      <c r="D2" s="2"/>
    </row>
    <row r="3" customFormat="false" ht="21.75" hidden="false" customHeight="true" outlineLevel="0" collapsed="false">
      <c r="A3" s="2"/>
      <c r="B3" s="4" t="s">
        <v>1</v>
      </c>
      <c r="C3" s="4"/>
      <c r="D3" s="2"/>
    </row>
    <row r="4" customFormat="false" ht="54.75" hidden="false" customHeight="true" outlineLevel="0" collapsed="false">
      <c r="A4" s="2"/>
      <c r="B4" s="5" t="s">
        <v>2</v>
      </c>
      <c r="C4" s="5"/>
      <c r="D4" s="2"/>
    </row>
    <row r="5" customFormat="false" ht="7.5" hidden="false" customHeight="true" outlineLevel="0" collapsed="false">
      <c r="A5" s="2"/>
      <c r="B5" s="3"/>
      <c r="C5" s="3"/>
      <c r="D5" s="2"/>
    </row>
    <row r="6" customFormat="false" ht="21.75" hidden="false" customHeight="true" outlineLevel="0" collapsed="false">
      <c r="A6" s="2"/>
      <c r="B6" s="4" t="s">
        <v>3</v>
      </c>
      <c r="C6" s="4"/>
      <c r="D6" s="2"/>
    </row>
    <row r="7" customFormat="false" ht="18" hidden="false" customHeight="true" outlineLevel="0" collapsed="false">
      <c r="A7" s="2"/>
      <c r="B7" s="6" t="s">
        <v>4</v>
      </c>
      <c r="C7" s="7" t="s">
        <v>5</v>
      </c>
      <c r="D7" s="2"/>
    </row>
    <row r="8" customFormat="false" ht="18" hidden="false" customHeight="true" outlineLevel="0" collapsed="false">
      <c r="A8" s="2"/>
      <c r="B8" s="8" t="s">
        <v>6</v>
      </c>
      <c r="C8" s="7" t="s">
        <v>7</v>
      </c>
      <c r="D8" s="2"/>
    </row>
    <row r="9" customFormat="false" ht="18" hidden="false" customHeight="true" outlineLevel="0" collapsed="false">
      <c r="A9" s="2"/>
      <c r="B9" s="9" t="s">
        <v>8</v>
      </c>
      <c r="C9" s="7" t="s">
        <v>9</v>
      </c>
      <c r="D9" s="2"/>
    </row>
    <row r="10" customFormat="false" ht="7.5" hidden="false" customHeight="true" outlineLevel="0" collapsed="false">
      <c r="A10" s="2"/>
      <c r="B10" s="3"/>
      <c r="C10" s="3"/>
      <c r="D10" s="2"/>
    </row>
    <row r="11" customFormat="false" ht="21.75" hidden="false" customHeight="true" outlineLevel="0" collapsed="false">
      <c r="A11" s="2"/>
      <c r="B11" s="4" t="s">
        <v>10</v>
      </c>
      <c r="C11" s="4"/>
      <c r="D11" s="2"/>
    </row>
    <row r="12" customFormat="false" ht="3.75" hidden="false" customHeight="true" outlineLevel="0" collapsed="false">
      <c r="A12" s="2"/>
      <c r="B12" s="3"/>
      <c r="C12" s="3"/>
      <c r="D12" s="2"/>
    </row>
    <row r="13" customFormat="false" ht="39.75" hidden="false" customHeight="true" outlineLevel="0" collapsed="false">
      <c r="A13" s="2"/>
      <c r="B13" s="10" t="s">
        <v>11</v>
      </c>
      <c r="C13" s="11" t="s">
        <v>12</v>
      </c>
      <c r="D13" s="2"/>
    </row>
    <row r="14" customFormat="false" ht="4.5" hidden="false" customHeight="true" outlineLevel="0" collapsed="false">
      <c r="A14" s="2"/>
      <c r="B14" s="3"/>
      <c r="C14" s="3"/>
      <c r="D14" s="2"/>
    </row>
    <row r="15" customFormat="false" ht="37.5" hidden="false" customHeight="true" outlineLevel="0" collapsed="false">
      <c r="A15" s="2"/>
      <c r="B15" s="10" t="s">
        <v>13</v>
      </c>
      <c r="C15" s="11" t="s">
        <v>14</v>
      </c>
      <c r="D15" s="2"/>
    </row>
    <row r="16" customFormat="false" ht="4.5" hidden="false" customHeight="true" outlineLevel="0" collapsed="false">
      <c r="A16" s="2"/>
      <c r="B16" s="3"/>
      <c r="C16" s="3"/>
      <c r="D16" s="2"/>
    </row>
    <row r="17" customFormat="false" ht="39.75" hidden="false" customHeight="true" outlineLevel="0" collapsed="false">
      <c r="A17" s="2"/>
      <c r="B17" s="10" t="s">
        <v>15</v>
      </c>
      <c r="C17" s="11" t="s">
        <v>16</v>
      </c>
      <c r="D17" s="2"/>
    </row>
    <row r="18" customFormat="false" ht="4.5" hidden="false" customHeight="true" outlineLevel="0" collapsed="false">
      <c r="A18" s="2"/>
      <c r="B18" s="3"/>
      <c r="C18" s="3"/>
      <c r="D18" s="2"/>
    </row>
    <row r="19" customFormat="false" ht="45" hidden="false" customHeight="true" outlineLevel="0" collapsed="false">
      <c r="A19" s="2"/>
      <c r="B19" s="10" t="s">
        <v>17</v>
      </c>
      <c r="C19" s="11" t="s">
        <v>18</v>
      </c>
      <c r="D19" s="2"/>
    </row>
    <row r="20" customFormat="false" ht="4.5" hidden="false" customHeight="true" outlineLevel="0" collapsed="false">
      <c r="A20" s="2"/>
      <c r="B20" s="3"/>
      <c r="C20" s="3"/>
      <c r="D20" s="2"/>
    </row>
    <row r="21" customFormat="false" ht="49.5" hidden="false" customHeight="true" outlineLevel="0" collapsed="false">
      <c r="A21" s="2"/>
      <c r="B21" s="10" t="s">
        <v>19</v>
      </c>
      <c r="C21" s="11" t="s">
        <v>20</v>
      </c>
      <c r="D21" s="2"/>
    </row>
    <row r="22" customFormat="false" ht="4.5" hidden="false" customHeight="true" outlineLevel="0" collapsed="false">
      <c r="A22" s="2"/>
      <c r="B22" s="3"/>
      <c r="C22" s="3"/>
      <c r="D22" s="2"/>
    </row>
    <row r="23" customFormat="false" ht="45" hidden="false" customHeight="true" outlineLevel="0" collapsed="false">
      <c r="A23" s="2"/>
      <c r="B23" s="10" t="s">
        <v>21</v>
      </c>
      <c r="C23" s="11" t="s">
        <v>22</v>
      </c>
      <c r="D23" s="2"/>
    </row>
    <row r="24" customFormat="false" ht="4.5" hidden="false" customHeight="true" outlineLevel="0" collapsed="false">
      <c r="A24" s="2"/>
      <c r="B24" s="3"/>
      <c r="C24" s="3"/>
      <c r="D24" s="2"/>
    </row>
    <row r="25" customFormat="false" ht="21.75" hidden="false" customHeight="true" outlineLevel="0" collapsed="false">
      <c r="A25" s="2"/>
      <c r="B25" s="4" t="s">
        <v>23</v>
      </c>
      <c r="C25" s="4"/>
      <c r="D25" s="2"/>
    </row>
    <row r="26" customFormat="false" ht="3.75" hidden="false" customHeight="true" outlineLevel="0" collapsed="false">
      <c r="A26" s="2"/>
      <c r="B26" s="3"/>
      <c r="C26" s="3"/>
      <c r="D26" s="2"/>
    </row>
    <row r="27" customFormat="false" ht="45" hidden="false" customHeight="true" outlineLevel="0" collapsed="false">
      <c r="A27" s="2"/>
      <c r="B27" s="5" t="s">
        <v>24</v>
      </c>
      <c r="C27" s="5"/>
      <c r="D27" s="2"/>
    </row>
    <row r="28" customFormat="false" ht="9.75" hidden="false" customHeight="true" outlineLevel="0" collapsed="false">
      <c r="A28" s="2"/>
      <c r="B28" s="3"/>
      <c r="C28" s="3"/>
      <c r="D28" s="2"/>
    </row>
    <row r="29" customFormat="false" ht="21.75" hidden="false" customHeight="true" outlineLevel="0" collapsed="false">
      <c r="A29" s="2"/>
      <c r="B29" s="4" t="s">
        <v>25</v>
      </c>
      <c r="C29" s="4"/>
      <c r="D29" s="2"/>
    </row>
    <row r="30" customFormat="false" ht="3.75" hidden="false" customHeight="true" outlineLevel="0" collapsed="false">
      <c r="A30" s="2"/>
      <c r="B30" s="3"/>
      <c r="C30" s="3"/>
      <c r="D30" s="2"/>
    </row>
    <row r="31" customFormat="false" ht="30" hidden="false" customHeight="true" outlineLevel="0" collapsed="false">
      <c r="A31" s="2"/>
      <c r="B31" s="12" t="s">
        <v>26</v>
      </c>
      <c r="C31" s="13" t="s">
        <v>27</v>
      </c>
      <c r="D31" s="2"/>
    </row>
    <row r="32" customFormat="false" ht="3.75" hidden="false" customHeight="true" outlineLevel="0" collapsed="false">
      <c r="A32" s="2"/>
      <c r="B32" s="3"/>
      <c r="C32" s="3"/>
      <c r="D32" s="2"/>
    </row>
    <row r="33" customFormat="false" ht="30" hidden="false" customHeight="true" outlineLevel="0" collapsed="false">
      <c r="A33" s="2"/>
      <c r="B33" s="12" t="s">
        <v>28</v>
      </c>
      <c r="C33" s="13" t="s">
        <v>29</v>
      </c>
      <c r="D33" s="2"/>
    </row>
    <row r="34" customFormat="false" ht="3.75" hidden="false" customHeight="true" outlineLevel="0" collapsed="false">
      <c r="A34" s="2"/>
      <c r="B34" s="3"/>
      <c r="C34" s="3"/>
      <c r="D34" s="2"/>
    </row>
    <row r="35" customFormat="false" ht="30" hidden="false" customHeight="true" outlineLevel="0" collapsed="false">
      <c r="A35" s="2"/>
      <c r="B35" s="12" t="s">
        <v>30</v>
      </c>
      <c r="C35" s="13" t="s">
        <v>31</v>
      </c>
      <c r="D35" s="2"/>
    </row>
    <row r="36" customFormat="false" ht="3.75" hidden="false" customHeight="true" outlineLevel="0" collapsed="false">
      <c r="A36" s="2"/>
      <c r="B36" s="3"/>
      <c r="C36" s="3"/>
      <c r="D36" s="2"/>
    </row>
    <row r="37" customFormat="false" ht="30" hidden="false" customHeight="true" outlineLevel="0" collapsed="false">
      <c r="A37" s="2"/>
      <c r="B37" s="12" t="s">
        <v>32</v>
      </c>
      <c r="C37" s="13" t="s">
        <v>33</v>
      </c>
      <c r="D37" s="2"/>
    </row>
    <row r="38" customFormat="false" ht="3.75" hidden="false" customHeight="true" outlineLevel="0" collapsed="false">
      <c r="A38" s="2"/>
      <c r="B38" s="3"/>
      <c r="C38" s="3"/>
      <c r="D38" s="2"/>
    </row>
    <row r="39" customFormat="false" ht="9.75" hidden="false" customHeight="true" outlineLevel="0" collapsed="false">
      <c r="A39" s="2"/>
      <c r="B39" s="3"/>
      <c r="C39" s="3"/>
      <c r="D39" s="2"/>
    </row>
    <row r="40" customFormat="false" ht="15" hidden="false" customHeight="true" outlineLevel="0" collapsed="false">
      <c r="A40" s="2"/>
      <c r="B40" s="14" t="s">
        <v>34</v>
      </c>
      <c r="C40" s="14"/>
      <c r="D40" s="2"/>
    </row>
    <row r="41" customFormat="false" ht="15" hidden="false" customHeight="false" outlineLevel="0" collapsed="false">
      <c r="A41" s="2"/>
      <c r="D41" s="2"/>
    </row>
  </sheetData>
  <mergeCells count="9">
    <mergeCell ref="A1:D1"/>
    <mergeCell ref="B3:C3"/>
    <mergeCell ref="B4:C4"/>
    <mergeCell ref="B6:C6"/>
    <mergeCell ref="B11:C11"/>
    <mergeCell ref="B25:C25"/>
    <mergeCell ref="B27:C27"/>
    <mergeCell ref="B29:C29"/>
    <mergeCell ref="B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8F"/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38"/>
  </cols>
  <sheetData>
    <row r="1" customFormat="false" ht="24" hidden="false" customHeight="true" outlineLevel="0" collapsed="false">
      <c r="A1" s="15" t="s">
        <v>35</v>
      </c>
      <c r="B1" s="15"/>
      <c r="C1" s="15"/>
    </row>
    <row r="2" customFormat="false" ht="13.5" hidden="false" customHeight="true" outlineLevel="0" collapsed="false">
      <c r="A2" s="16" t="s">
        <v>36</v>
      </c>
      <c r="B2" s="16"/>
      <c r="C2" s="16"/>
    </row>
    <row r="3" customFormat="false" ht="6" hidden="false" customHeight="true" outlineLevel="0" collapsed="false"/>
    <row r="4" customFormat="false" ht="18" hidden="false" customHeight="true" outlineLevel="0" collapsed="false">
      <c r="A4" s="17" t="s">
        <v>37</v>
      </c>
      <c r="B4" s="17"/>
      <c r="C4" s="17"/>
    </row>
    <row r="5" customFormat="false" ht="15.75" hidden="false" customHeight="true" outlineLevel="0" collapsed="false">
      <c r="A5" s="18" t="s">
        <v>38</v>
      </c>
      <c r="B5" s="19" t="n">
        <v>400000</v>
      </c>
    </row>
    <row r="6" customFormat="false" ht="15.75" hidden="false" customHeight="true" outlineLevel="0" collapsed="false">
      <c r="A6" s="18" t="s">
        <v>39</v>
      </c>
      <c r="B6" s="19" t="n">
        <v>100000</v>
      </c>
    </row>
    <row r="7" customFormat="false" ht="15.75" hidden="false" customHeight="true" outlineLevel="0" collapsed="false">
      <c r="A7" s="18" t="s">
        <v>40</v>
      </c>
      <c r="B7" s="19" t="n">
        <v>1200000</v>
      </c>
    </row>
    <row r="8" customFormat="false" ht="15.75" hidden="false" customHeight="true" outlineLevel="0" collapsed="false">
      <c r="A8" s="18" t="s">
        <v>41</v>
      </c>
      <c r="B8" s="19" t="n">
        <v>300000</v>
      </c>
    </row>
    <row r="9" customFormat="false" ht="15.75" hidden="false" customHeight="true" outlineLevel="0" collapsed="false">
      <c r="A9" s="18" t="s">
        <v>42</v>
      </c>
      <c r="B9" s="19" t="n">
        <v>0</v>
      </c>
    </row>
    <row r="10" customFormat="false" ht="18" hidden="false" customHeight="true" outlineLevel="0" collapsed="false">
      <c r="A10" s="20" t="s">
        <v>43</v>
      </c>
      <c r="B10" s="21" t="n">
        <f aca="false">SUM(B5:B9)</f>
        <v>2000000</v>
      </c>
    </row>
    <row r="11" customFormat="false" ht="6" hidden="false" customHeight="true" outlineLevel="0" collapsed="false"/>
    <row r="12" customFormat="false" ht="18" hidden="false" customHeight="true" outlineLevel="0" collapsed="false">
      <c r="A12" s="17" t="s">
        <v>44</v>
      </c>
      <c r="B12" s="17"/>
      <c r="C12" s="17"/>
    </row>
    <row r="13" customFormat="false" ht="15.75" hidden="false" customHeight="true" outlineLevel="0" collapsed="false">
      <c r="A13" s="18" t="s">
        <v>45</v>
      </c>
      <c r="B13" s="22" t="n">
        <v>12</v>
      </c>
    </row>
    <row r="14" customFormat="false" ht="15.75" hidden="false" customHeight="true" outlineLevel="0" collapsed="false">
      <c r="A14" s="18" t="s">
        <v>46</v>
      </c>
      <c r="B14" s="22" t="n">
        <v>8</v>
      </c>
    </row>
    <row r="15" customFormat="false" ht="15" hidden="false" customHeight="true" outlineLevel="0" collapsed="false">
      <c r="A15" s="18" t="s">
        <v>47</v>
      </c>
      <c r="B15" s="23" t="n">
        <f aca="false">B13-B14</f>
        <v>4</v>
      </c>
    </row>
    <row r="16" customFormat="false" ht="6" hidden="false" customHeight="true" outlineLevel="0" collapsed="false"/>
    <row r="17" customFormat="false" ht="18" hidden="false" customHeight="true" outlineLevel="0" collapsed="false">
      <c r="A17" s="17" t="s">
        <v>48</v>
      </c>
      <c r="B17" s="17"/>
      <c r="C17" s="17"/>
    </row>
    <row r="18" customFormat="false" ht="15.75" hidden="false" customHeight="true" outlineLevel="0" collapsed="false">
      <c r="A18" s="18" t="s">
        <v>49</v>
      </c>
      <c r="B18" s="22" t="n">
        <v>5</v>
      </c>
    </row>
    <row r="19" customFormat="false" ht="15.75" hidden="false" customHeight="true" outlineLevel="0" collapsed="false">
      <c r="A19" s="18" t="s">
        <v>50</v>
      </c>
      <c r="B19" s="19" t="n">
        <v>550</v>
      </c>
    </row>
    <row r="20" customFormat="false" ht="15.75" hidden="false" customHeight="true" outlineLevel="0" collapsed="false">
      <c r="A20" s="18" t="s">
        <v>51</v>
      </c>
      <c r="B20" s="24" t="n">
        <v>0.6</v>
      </c>
    </row>
    <row r="21" customFormat="false" ht="15.75" hidden="false" customHeight="true" outlineLevel="0" collapsed="false">
      <c r="A21" s="18" t="s">
        <v>52</v>
      </c>
      <c r="B21" s="22" t="n">
        <v>30</v>
      </c>
    </row>
    <row r="22" customFormat="false" ht="15" hidden="false" customHeight="true" outlineLevel="0" collapsed="false">
      <c r="A22" s="25" t="s">
        <v>53</v>
      </c>
      <c r="B22" s="26" t="n">
        <f aca="false">B21*B20</f>
        <v>18</v>
      </c>
    </row>
    <row r="23" customFormat="false" ht="15" hidden="false" customHeight="true" outlineLevel="0" collapsed="false">
      <c r="A23" s="25" t="s">
        <v>54</v>
      </c>
      <c r="B23" s="27" t="n">
        <f aca="false">B19*B21*B20</f>
        <v>9900</v>
      </c>
    </row>
    <row r="24" customFormat="false" ht="18" hidden="false" customHeight="true" outlineLevel="0" collapsed="false">
      <c r="A24" s="20" t="s">
        <v>55</v>
      </c>
      <c r="B24" s="21" t="n">
        <f aca="false">B18*B19*B21*B20</f>
        <v>49500</v>
      </c>
    </row>
    <row r="25" customFormat="false" ht="15" hidden="false" customHeight="true" outlineLevel="0" collapsed="false">
      <c r="A25" s="18" t="s">
        <v>56</v>
      </c>
      <c r="B25" s="28" t="n">
        <f aca="false">B24*12</f>
        <v>594000</v>
      </c>
    </row>
    <row r="26" customFormat="false" ht="6" hidden="false" customHeight="true" outlineLevel="0" collapsed="false"/>
    <row r="27" customFormat="false" ht="18" hidden="false" customHeight="true" outlineLevel="0" collapsed="false">
      <c r="A27" s="17" t="s">
        <v>57</v>
      </c>
      <c r="B27" s="17"/>
      <c r="C27" s="17"/>
    </row>
    <row r="28" customFormat="false" ht="19.5" hidden="false" customHeight="true" outlineLevel="0" collapsed="false">
      <c r="A28" s="18" t="s">
        <v>58</v>
      </c>
      <c r="B28" s="24" t="n">
        <v>0.4</v>
      </c>
      <c r="C28" s="29" t="s">
        <v>59</v>
      </c>
    </row>
    <row r="29" customFormat="false" ht="15" hidden="false" customHeight="true" outlineLevel="0" collapsed="false">
      <c r="A29" s="18" t="s">
        <v>60</v>
      </c>
      <c r="B29" s="28" t="n">
        <f aca="false">B24*B28</f>
        <v>19800</v>
      </c>
    </row>
    <row r="30" customFormat="false" ht="18" hidden="false" customHeight="true" outlineLevel="0" collapsed="false">
      <c r="A30" s="20" t="s">
        <v>61</v>
      </c>
      <c r="B30" s="21" t="n">
        <f aca="false">B24-B29</f>
        <v>29700</v>
      </c>
    </row>
    <row r="31" customFormat="false" ht="18" hidden="false" customHeight="true" outlineLevel="0" collapsed="false">
      <c r="A31" s="20" t="s">
        <v>62</v>
      </c>
      <c r="B31" s="21" t="n">
        <f aca="false">B30*12</f>
        <v>356400</v>
      </c>
    </row>
    <row r="32" customFormat="false" ht="6" hidden="false" customHeight="true" outlineLevel="0" collapsed="false"/>
    <row r="33" customFormat="false" ht="18" hidden="false" customHeight="true" outlineLevel="0" collapsed="false">
      <c r="A33" s="17" t="s">
        <v>63</v>
      </c>
      <c r="B33" s="17"/>
      <c r="C33" s="17"/>
    </row>
    <row r="34" customFormat="false" ht="18" hidden="false" customHeight="true" outlineLevel="0" collapsed="false">
      <c r="A34" s="18" t="s">
        <v>64</v>
      </c>
      <c r="B34" s="30" t="n">
        <f aca="false">IFERROR(B10/B31,"-")</f>
        <v>5.61167227833895</v>
      </c>
    </row>
    <row r="35" customFormat="false" ht="18" hidden="false" customHeight="true" outlineLevel="0" collapsed="false">
      <c r="A35" s="18" t="s">
        <v>65</v>
      </c>
      <c r="B35" s="31" t="n">
        <f aca="false">IFERROR(B31/B10,"-")</f>
        <v>0.1782</v>
      </c>
    </row>
    <row r="36" customFormat="false" ht="18" hidden="false" customHeight="true" outlineLevel="0" collapsed="false">
      <c r="A36" s="18" t="s">
        <v>66</v>
      </c>
      <c r="B36" s="31" t="n">
        <f aca="false">IFERROR((B31*10-B10)/B10,"-")</f>
        <v>0.782</v>
      </c>
    </row>
    <row r="37" customFormat="false" ht="6" hidden="false" customHeight="true" outlineLevel="0" collapsed="false"/>
    <row r="38" customFormat="false" ht="18" hidden="false" customHeight="true" outlineLevel="0" collapsed="false">
      <c r="A38" s="17" t="s">
        <v>67</v>
      </c>
      <c r="B38" s="17"/>
      <c r="C38" s="17"/>
    </row>
    <row r="39" customFormat="false" ht="15.75" hidden="false" customHeight="true" outlineLevel="0" collapsed="false">
      <c r="A39" s="18" t="s">
        <v>68</v>
      </c>
      <c r="B39" s="19" t="n">
        <v>100000</v>
      </c>
      <c r="C39" s="32" t="s">
        <v>69</v>
      </c>
    </row>
    <row r="40" customFormat="false" ht="15" hidden="false" customHeight="true" outlineLevel="0" collapsed="false">
      <c r="A40" s="18" t="s">
        <v>70</v>
      </c>
      <c r="B40" s="28" t="n">
        <f aca="false">B15*B30</f>
        <v>118800</v>
      </c>
    </row>
    <row r="41" customFormat="false" ht="18" hidden="false" customHeight="true" outlineLevel="0" collapsed="false">
      <c r="A41" s="20" t="s">
        <v>71</v>
      </c>
      <c r="B41" s="21" t="n">
        <f aca="false">B40-B39</f>
        <v>18800</v>
      </c>
    </row>
    <row r="42" customFormat="false" ht="12.75" hidden="false" customHeight="true" outlineLevel="0" collapsed="false">
      <c r="A42" s="16" t="s">
        <v>72</v>
      </c>
      <c r="B42" s="16"/>
      <c r="C42" s="16"/>
    </row>
    <row r="43" customFormat="false" ht="9.75" hidden="false" customHeight="true" outlineLevel="0" collapsed="false"/>
    <row r="44" customFormat="false" ht="18" hidden="false" customHeight="true" outlineLevel="0" collapsed="false">
      <c r="A44" s="33" t="s">
        <v>73</v>
      </c>
      <c r="B44" s="33"/>
      <c r="C44" s="33"/>
    </row>
  </sheetData>
  <mergeCells count="10">
    <mergeCell ref="A1:C1"/>
    <mergeCell ref="A2:C2"/>
    <mergeCell ref="A4:C4"/>
    <mergeCell ref="A12:C12"/>
    <mergeCell ref="A17:C17"/>
    <mergeCell ref="A27:C27"/>
    <mergeCell ref="A33:C33"/>
    <mergeCell ref="A38:C38"/>
    <mergeCell ref="A42:C42"/>
    <mergeCell ref="A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DB5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24" hidden="false" customHeight="true" outlineLevel="0" collapsed="false">
      <c r="A1" s="15" t="s">
        <v>74</v>
      </c>
      <c r="B1" s="15"/>
      <c r="C1" s="15"/>
      <c r="D1" s="15"/>
    </row>
    <row r="2" customFormat="false" ht="19.5" hidden="false" customHeight="true" outlineLevel="0" collapsed="false">
      <c r="B2" s="34" t="s">
        <v>75</v>
      </c>
      <c r="C2" s="35" t="s">
        <v>76</v>
      </c>
      <c r="D2" s="36" t="s">
        <v>77</v>
      </c>
    </row>
    <row r="3" customFormat="false" ht="6" hidden="false" customHeight="true" outlineLevel="0" collapsed="false"/>
    <row r="4" customFormat="false" ht="18" hidden="false" customHeight="true" outlineLevel="0" collapsed="false">
      <c r="A4" s="17" t="s">
        <v>78</v>
      </c>
      <c r="B4" s="17"/>
      <c r="C4" s="17"/>
      <c r="D4" s="17"/>
    </row>
    <row r="5" customFormat="false" ht="15.75" hidden="false" customHeight="true" outlineLevel="0" collapsed="false">
      <c r="A5" s="18" t="s">
        <v>79</v>
      </c>
      <c r="B5" s="19" t="n">
        <v>2000000</v>
      </c>
      <c r="C5" s="19" t="n">
        <v>2000000</v>
      </c>
      <c r="D5" s="19" t="n">
        <v>2000000</v>
      </c>
    </row>
    <row r="6" customFormat="false" ht="15.75" hidden="false" customHeight="true" outlineLevel="0" collapsed="false">
      <c r="A6" s="18" t="s">
        <v>49</v>
      </c>
      <c r="B6" s="37" t="n">
        <v>5</v>
      </c>
      <c r="C6" s="37" t="n">
        <v>5</v>
      </c>
      <c r="D6" s="37" t="n">
        <v>5</v>
      </c>
    </row>
    <row r="7" customFormat="false" ht="15.75" hidden="false" customHeight="true" outlineLevel="0" collapsed="false">
      <c r="A7" s="18" t="s">
        <v>50</v>
      </c>
      <c r="B7" s="19" t="n">
        <v>400</v>
      </c>
      <c r="C7" s="19" t="n">
        <v>550</v>
      </c>
      <c r="D7" s="19" t="n">
        <v>700</v>
      </c>
    </row>
    <row r="8" customFormat="false" ht="15.75" hidden="false" customHeight="true" outlineLevel="0" collapsed="false">
      <c r="A8" s="18" t="s">
        <v>51</v>
      </c>
      <c r="B8" s="24" t="n">
        <v>0.4</v>
      </c>
      <c r="C8" s="24" t="n">
        <v>0.6</v>
      </c>
      <c r="D8" s="24" t="n">
        <v>0.75</v>
      </c>
    </row>
    <row r="9" customFormat="false" ht="15.75" hidden="false" customHeight="true" outlineLevel="0" collapsed="false">
      <c r="A9" s="18" t="s">
        <v>80</v>
      </c>
      <c r="B9" s="24" t="n">
        <v>0.5</v>
      </c>
      <c r="C9" s="24" t="n">
        <v>0.4</v>
      </c>
      <c r="D9" s="24" t="n">
        <v>0.35</v>
      </c>
    </row>
    <row r="10" customFormat="false" ht="15.75" hidden="false" customHeight="true" outlineLevel="0" collapsed="false">
      <c r="A10" s="18" t="s">
        <v>81</v>
      </c>
      <c r="B10" s="37" t="n">
        <v>30</v>
      </c>
      <c r="C10" s="37" t="n">
        <v>30</v>
      </c>
      <c r="D10" s="37" t="n">
        <v>30</v>
      </c>
    </row>
    <row r="11" customFormat="false" ht="15.75" hidden="false" customHeight="true" outlineLevel="0" collapsed="false">
      <c r="A11" s="18" t="s">
        <v>82</v>
      </c>
      <c r="B11" s="38" t="n">
        <v>10</v>
      </c>
      <c r="C11" s="38" t="n">
        <v>8</v>
      </c>
      <c r="D11" s="38" t="n">
        <v>7</v>
      </c>
    </row>
    <row r="12" customFormat="false" ht="15.75" hidden="false" customHeight="true" outlineLevel="0" collapsed="false">
      <c r="A12" s="18" t="s">
        <v>83</v>
      </c>
      <c r="B12" s="38" t="n">
        <v>14</v>
      </c>
      <c r="C12" s="38" t="n">
        <v>12</v>
      </c>
      <c r="D12" s="38" t="n">
        <v>12</v>
      </c>
    </row>
    <row r="13" customFormat="false" ht="15.75" hidden="false" customHeight="true" outlineLevel="0" collapsed="false">
      <c r="A13" s="18" t="s">
        <v>84</v>
      </c>
      <c r="B13" s="19" t="n">
        <v>0</v>
      </c>
      <c r="C13" s="19" t="n">
        <v>100000</v>
      </c>
      <c r="D13" s="19" t="n">
        <v>100000</v>
      </c>
    </row>
    <row r="14" customFormat="false" ht="6" hidden="false" customHeight="true" outlineLevel="0" collapsed="false"/>
    <row r="15" customFormat="false" ht="18" hidden="false" customHeight="true" outlineLevel="0" collapsed="false">
      <c r="A15" s="17" t="s">
        <v>85</v>
      </c>
      <c r="B15" s="17"/>
      <c r="C15" s="17"/>
      <c r="D15" s="17"/>
    </row>
    <row r="16" customFormat="false" ht="15" hidden="false" customHeight="true" outlineLevel="0" collapsed="false">
      <c r="A16" s="20" t="s">
        <v>55</v>
      </c>
      <c r="B16" s="28" t="n">
        <f aca="false">B6*B7*B10*B8</f>
        <v>24000</v>
      </c>
      <c r="C16" s="28" t="n">
        <f aca="false">C6*C7*C10*C8</f>
        <v>49500</v>
      </c>
      <c r="D16" s="28" t="n">
        <f aca="false">D6*D7*D10*D8</f>
        <v>78750</v>
      </c>
    </row>
    <row r="17" customFormat="false" ht="15" hidden="false" customHeight="true" outlineLevel="0" collapsed="false">
      <c r="A17" s="18" t="s">
        <v>60</v>
      </c>
      <c r="B17" s="27" t="n">
        <f aca="false">B16*B9</f>
        <v>12000</v>
      </c>
      <c r="C17" s="27" t="n">
        <f aca="false">C16*C9</f>
        <v>19800</v>
      </c>
      <c r="D17" s="27" t="n">
        <f aca="false">D16*D9</f>
        <v>27562.5</v>
      </c>
    </row>
    <row r="18" customFormat="false" ht="18" hidden="false" customHeight="true" outlineLevel="0" collapsed="false">
      <c r="A18" s="20" t="s">
        <v>61</v>
      </c>
      <c r="B18" s="21" t="n">
        <f aca="false">B16-B17</f>
        <v>12000</v>
      </c>
      <c r="C18" s="21" t="n">
        <f aca="false">C16-C17</f>
        <v>29700</v>
      </c>
      <c r="D18" s="21" t="n">
        <f aca="false">D16-D17</f>
        <v>51187.5</v>
      </c>
    </row>
    <row r="19" customFormat="false" ht="15" hidden="false" customHeight="true" outlineLevel="0" collapsed="false">
      <c r="A19" s="18" t="s">
        <v>62</v>
      </c>
      <c r="B19" s="28" t="n">
        <f aca="false">B18*12</f>
        <v>144000</v>
      </c>
      <c r="C19" s="28" t="n">
        <f aca="false">C18*12</f>
        <v>356400</v>
      </c>
      <c r="D19" s="28" t="n">
        <f aca="false">D18*12</f>
        <v>614250</v>
      </c>
    </row>
    <row r="20" customFormat="false" ht="3.75" hidden="false" customHeight="true" outlineLevel="0" collapsed="false"/>
    <row r="21" customFormat="false" ht="18" hidden="false" customHeight="true" outlineLevel="0" collapsed="false">
      <c r="A21" s="17" t="s">
        <v>86</v>
      </c>
      <c r="B21" s="17"/>
      <c r="C21" s="17"/>
      <c r="D21" s="17"/>
    </row>
    <row r="22" customFormat="false" ht="18" hidden="false" customHeight="true" outlineLevel="0" collapsed="false">
      <c r="A22" s="18" t="s">
        <v>64</v>
      </c>
      <c r="B22" s="30" t="n">
        <f aca="false">IFERROR(B5/B19,"-")</f>
        <v>13.8888888888889</v>
      </c>
      <c r="C22" s="30" t="n">
        <f aca="false">IFERROR(C5/C19,"-")</f>
        <v>5.61167227833895</v>
      </c>
      <c r="D22" s="30" t="n">
        <f aca="false">IFERROR(D5/D19,"-")</f>
        <v>3.25600325600326</v>
      </c>
    </row>
    <row r="23" customFormat="false" ht="18" hidden="false" customHeight="true" outlineLevel="0" collapsed="false">
      <c r="A23" s="18" t="s">
        <v>65</v>
      </c>
      <c r="B23" s="31" t="n">
        <f aca="false">IFERROR(B19/B5,"-")</f>
        <v>0.072</v>
      </c>
      <c r="C23" s="31" t="n">
        <f aca="false">IFERROR(C19/C5,"-")</f>
        <v>0.1782</v>
      </c>
      <c r="D23" s="31" t="n">
        <f aca="false">IFERROR(D19/D5,"-")</f>
        <v>0.307125</v>
      </c>
    </row>
    <row r="24" customFormat="false" ht="18" hidden="false" customHeight="true" outlineLevel="0" collapsed="false">
      <c r="A24" s="18" t="s">
        <v>66</v>
      </c>
      <c r="B24" s="31" t="n">
        <f aca="false">IFERROR((B19*10-B5)/B5,"-")</f>
        <v>-0.28</v>
      </c>
      <c r="C24" s="31" t="n">
        <f aca="false">IFERROR((C19*10-C5)/C5,"-")</f>
        <v>0.782</v>
      </c>
      <c r="D24" s="31" t="n">
        <f aca="false">IFERROR((D19*10-D5)/D5,"-")</f>
        <v>2.07125</v>
      </c>
    </row>
    <row r="25" customFormat="false" ht="3.75" hidden="false" customHeight="true" outlineLevel="0" collapsed="false"/>
    <row r="26" customFormat="false" ht="18" hidden="false" customHeight="true" outlineLevel="0" collapsed="false">
      <c r="A26" s="17" t="s">
        <v>87</v>
      </c>
      <c r="B26" s="17"/>
      <c r="C26" s="17"/>
      <c r="D26" s="17"/>
    </row>
    <row r="27" customFormat="false" ht="15" hidden="false" customHeight="true" outlineLevel="0" collapsed="false">
      <c r="A27" s="18" t="s">
        <v>88</v>
      </c>
      <c r="B27" s="23" t="n">
        <f aca="false">B12-B11</f>
        <v>4</v>
      </c>
      <c r="C27" s="23" t="n">
        <f aca="false">C12-C11</f>
        <v>4</v>
      </c>
      <c r="D27" s="23" t="n">
        <f aca="false">D12-D11</f>
        <v>5</v>
      </c>
    </row>
    <row r="28" customFormat="false" ht="15" hidden="false" customHeight="true" outlineLevel="0" collapsed="false">
      <c r="A28" s="18" t="s">
        <v>89</v>
      </c>
      <c r="B28" s="28" t="n">
        <f aca="false">B27*B18</f>
        <v>48000</v>
      </c>
      <c r="C28" s="28" t="n">
        <f aca="false">C27*C18</f>
        <v>118800</v>
      </c>
      <c r="D28" s="28" t="n">
        <f aca="false">D27*D18</f>
        <v>255937.5</v>
      </c>
    </row>
    <row r="29" customFormat="false" ht="18" hidden="false" customHeight="true" outlineLevel="0" collapsed="false">
      <c r="A29" s="20" t="s">
        <v>90</v>
      </c>
      <c r="B29" s="21" t="n">
        <f aca="false">B28-B13</f>
        <v>48000</v>
      </c>
      <c r="C29" s="21" t="n">
        <f aca="false">C28-C13</f>
        <v>18800</v>
      </c>
      <c r="D29" s="21" t="n">
        <f aca="false">D28-D13</f>
        <v>155937.5</v>
      </c>
    </row>
  </sheetData>
  <mergeCells count="5">
    <mergeCell ref="A1:D1"/>
    <mergeCell ref="A4:D4"/>
    <mergeCell ref="A15:D15"/>
    <mergeCell ref="A21:D21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2026-08-15T21:47:23Z</dcterms:created>
  <dc:creator>openpyxl</dc:creator>
  <dc:description/>
  <dc:language>en-US</dc:language>
  <cp:lastModifiedBy/>
  <dcterms:modified xsi:type="dcterms:W3CDTF">2026-08-15T21:47:23Z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